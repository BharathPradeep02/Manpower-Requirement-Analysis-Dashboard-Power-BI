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Git Projects\Emp(Gap)Sample\"/>
    </mc:Choice>
  </mc:AlternateContent>
  <xr:revisionPtr revIDLastSave="0" documentId="13_ncr:1_{D37AA6B9-9D8B-4A72-99D3-DF959C39D0CF}" xr6:coauthVersionLast="47" xr6:coauthVersionMax="47" xr10:uidLastSave="{00000000-0000-0000-0000-000000000000}"/>
  <bookViews>
    <workbookView xWindow="-108" yWindow="-108" windowWidth="23256" windowHeight="13176" tabRatio="918" activeTab="3" xr2:uid="{F988B4E7-C69C-475B-9254-7439DF821F63}"/>
  </bookViews>
  <sheets>
    <sheet name="Finishing Process" sheetId="33" r:id="rId1"/>
    <sheet name="Fabrication Process" sheetId="32" r:id="rId2"/>
    <sheet name="Preparatory Process" sheetId="31" r:id="rId3"/>
    <sheet name="P&amp;D Process" sheetId="40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31" l="1"/>
  <c r="O5" i="31"/>
  <c r="N5" i="31"/>
  <c r="M5" i="31"/>
  <c r="K5" i="31"/>
  <c r="I5" i="31"/>
  <c r="G5" i="31"/>
  <c r="F5" i="31"/>
  <c r="E5" i="31"/>
  <c r="D5" i="31"/>
  <c r="P4" i="31"/>
  <c r="O4" i="31"/>
  <c r="N4" i="31"/>
  <c r="M4" i="31"/>
  <c r="L4" i="31"/>
  <c r="I4" i="31"/>
  <c r="G4" i="31"/>
  <c r="F4" i="31"/>
  <c r="E4" i="31"/>
  <c r="D4" i="31"/>
  <c r="P5" i="32"/>
  <c r="O5" i="32"/>
  <c r="N5" i="32"/>
  <c r="M5" i="32"/>
  <c r="L5" i="32"/>
  <c r="K5" i="32"/>
  <c r="J5" i="32"/>
  <c r="I5" i="32"/>
  <c r="G5" i="32"/>
  <c r="F5" i="32"/>
  <c r="E5" i="32"/>
  <c r="D5" i="32"/>
  <c r="P4" i="32"/>
  <c r="O4" i="32"/>
  <c r="N4" i="32"/>
  <c r="M4" i="32"/>
  <c r="L4" i="32"/>
  <c r="K4" i="32"/>
  <c r="J4" i="32"/>
  <c r="I4" i="32"/>
  <c r="G4" i="32"/>
  <c r="Q34" i="33"/>
  <c r="Q33" i="33"/>
  <c r="Q24" i="33"/>
  <c r="Q23" i="33"/>
  <c r="Q19" i="33"/>
  <c r="Q18" i="33"/>
  <c r="O4" i="33"/>
  <c r="M4" i="33"/>
  <c r="L4" i="33"/>
  <c r="K4" i="33"/>
  <c r="I4" i="33"/>
  <c r="G4" i="33"/>
  <c r="F4" i="33"/>
  <c r="E4" i="33"/>
  <c r="D4" i="33"/>
  <c r="L3" i="33"/>
  <c r="G3" i="33"/>
  <c r="F3" i="33"/>
  <c r="F5" i="40" l="1"/>
  <c r="D5" i="40"/>
  <c r="C5" i="40"/>
  <c r="I4" i="40"/>
  <c r="I5" i="40" s="1"/>
  <c r="I3" i="40"/>
  <c r="H5" i="40"/>
  <c r="E5" i="40"/>
  <c r="Q8" i="33"/>
  <c r="L5" i="33" l="1"/>
  <c r="K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30" i="33"/>
  <c r="Q29" i="33"/>
  <c r="Q28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P20" i="33"/>
  <c r="O20" i="33"/>
  <c r="N20" i="33"/>
  <c r="M20" i="33"/>
  <c r="L20" i="33"/>
  <c r="K20" i="33"/>
  <c r="J20" i="33"/>
  <c r="I20" i="33"/>
  <c r="H20" i="33"/>
  <c r="G20" i="33"/>
  <c r="F20" i="33"/>
  <c r="E20" i="33"/>
  <c r="D20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Q14" i="33"/>
  <c r="Q13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Q9" i="33"/>
  <c r="D5" i="33"/>
  <c r="E6" i="31"/>
  <c r="F6" i="31"/>
  <c r="G6" i="31"/>
  <c r="I6" i="31"/>
  <c r="N6" i="31"/>
  <c r="O6" i="31"/>
  <c r="P6" i="31"/>
  <c r="D6" i="31"/>
  <c r="E26" i="31"/>
  <c r="F26" i="31"/>
  <c r="G26" i="31"/>
  <c r="H26" i="31"/>
  <c r="I26" i="31"/>
  <c r="J26" i="31"/>
  <c r="K26" i="31"/>
  <c r="L26" i="31"/>
  <c r="M26" i="31"/>
  <c r="N26" i="31"/>
  <c r="O26" i="31"/>
  <c r="P26" i="31"/>
  <c r="D26" i="31"/>
  <c r="E6" i="32"/>
  <c r="F6" i="32"/>
  <c r="G6" i="32"/>
  <c r="I6" i="32"/>
  <c r="J6" i="32"/>
  <c r="K6" i="32"/>
  <c r="L6" i="32"/>
  <c r="M6" i="32"/>
  <c r="N6" i="32"/>
  <c r="O6" i="32"/>
  <c r="P6" i="32"/>
  <c r="D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Q45" i="32"/>
  <c r="Q44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Q40" i="32"/>
  <c r="Q39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Q35" i="32"/>
  <c r="Q34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Q30" i="32"/>
  <c r="Q29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Q25" i="32"/>
  <c r="Q24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Q20" i="32"/>
  <c r="Q19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Q15" i="32"/>
  <c r="Q14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Q10" i="32"/>
  <c r="Q9" i="32"/>
  <c r="H6" i="31"/>
  <c r="J6" i="31"/>
  <c r="K6" i="31"/>
  <c r="L6" i="31"/>
  <c r="M6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Q30" i="31"/>
  <c r="Q29" i="31"/>
  <c r="Q25" i="31"/>
  <c r="Q24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Q20" i="31"/>
  <c r="Q19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Q15" i="31"/>
  <c r="Q14" i="31"/>
  <c r="M11" i="31"/>
  <c r="E11" i="31"/>
  <c r="F11" i="31"/>
  <c r="G11" i="31"/>
  <c r="H11" i="31"/>
  <c r="I11" i="31"/>
  <c r="J11" i="31"/>
  <c r="K11" i="31"/>
  <c r="L11" i="31"/>
  <c r="N11" i="31"/>
  <c r="O11" i="31"/>
  <c r="P11" i="31"/>
  <c r="D11" i="31"/>
  <c r="Q10" i="31"/>
  <c r="Q9" i="31"/>
  <c r="Q26" i="31" l="1"/>
  <c r="H6" i="32"/>
  <c r="N5" i="33"/>
  <c r="J5" i="33"/>
  <c r="Q4" i="33"/>
  <c r="M5" i="33"/>
  <c r="Q15" i="33"/>
  <c r="E5" i="33"/>
  <c r="F5" i="33"/>
  <c r="Q10" i="33"/>
  <c r="G5" i="33"/>
  <c r="H5" i="33"/>
  <c r="I5" i="33"/>
  <c r="Q30" i="33"/>
  <c r="P5" i="33"/>
  <c r="Q35" i="33"/>
  <c r="Q25" i="33"/>
  <c r="O5" i="33"/>
  <c r="Q20" i="33"/>
  <c r="Q3" i="33"/>
  <c r="Q46" i="32"/>
  <c r="Q41" i="32"/>
  <c r="Q36" i="32"/>
  <c r="Q31" i="32"/>
  <c r="Q26" i="32"/>
  <c r="Q21" i="32"/>
  <c r="Q16" i="32"/>
  <c r="Q11" i="32"/>
  <c r="Q4" i="32"/>
  <c r="Q5" i="32"/>
  <c r="Q4" i="31"/>
  <c r="Q31" i="31"/>
  <c r="Q5" i="31"/>
  <c r="Q21" i="31"/>
  <c r="Q16" i="31"/>
  <c r="Q11" i="31"/>
  <c r="Q6" i="31" l="1"/>
  <c r="Q6" i="32"/>
  <c r="Q5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Nandakumar</author>
  </authors>
  <commentList>
    <comment ref="J33" authorId="0" shapeId="0" xr:uid="{7A03F7A7-F730-47B3-849F-74AB645C6F4C}">
      <text>
        <r>
          <rPr>
            <b/>
            <sz val="9"/>
            <color indexed="81"/>
            <rFont val="Tahoma"/>
            <family val="2"/>
          </rPr>
          <t>Nandakumar:</t>
        </r>
        <r>
          <rPr>
            <sz val="9"/>
            <color indexed="81"/>
            <rFont val="Tahoma"/>
            <family val="2"/>
          </rPr>
          <t xml:space="preserve">
Lady operators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tc={A907AB84-FBA8-4CD2-AFFD-D7A8D62179F6}</author>
  </authors>
  <commentList>
    <comment ref="K40" authorId="0" shapeId="0" xr:uid="{09CA2768-91FD-45A9-8055-9964D20898FD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Trainee
</t>
        </r>
      </text>
    </comment>
  </commentList>
</comments>
</file>

<file path=xl/sharedStrings.xml><?xml version="1.0" encoding="utf-8"?>
<sst xmlns="http://schemas.openxmlformats.org/spreadsheetml/2006/main" count="434" uniqueCount="46">
  <si>
    <t>Welder</t>
  </si>
  <si>
    <t>Fitter</t>
  </si>
  <si>
    <t>Semi Fitter</t>
  </si>
  <si>
    <t>Tack Welder</t>
  </si>
  <si>
    <t>Helper</t>
  </si>
  <si>
    <t>Tamil Helper</t>
  </si>
  <si>
    <t>Tube Laser</t>
  </si>
  <si>
    <t>Plan</t>
  </si>
  <si>
    <t>Actual</t>
  </si>
  <si>
    <t>Semi Operator</t>
  </si>
  <si>
    <t>Tamil TL</t>
  </si>
  <si>
    <t>Hindi Helper</t>
  </si>
  <si>
    <t>Painter</t>
  </si>
  <si>
    <t>Material Movement</t>
  </si>
  <si>
    <t>Blaster</t>
  </si>
  <si>
    <t>Trainees</t>
  </si>
  <si>
    <t>Despatch -Fabrication</t>
  </si>
  <si>
    <t>Gap</t>
  </si>
  <si>
    <t>GRN Coordinator</t>
  </si>
  <si>
    <t>Robot / Laser Programmer</t>
  </si>
  <si>
    <t>Total Gap</t>
  </si>
  <si>
    <t>P/A</t>
  </si>
  <si>
    <t>Laser - DNE &amp; SIL</t>
  </si>
  <si>
    <t>Bandsaw/Ironworker / Punching / Radial drilling etc.,</t>
  </si>
  <si>
    <t>Robot / Laser / MC Operator</t>
  </si>
  <si>
    <t>Preparatory Process - Overall</t>
  </si>
  <si>
    <t>Press brake</t>
  </si>
  <si>
    <t>Fabrication Process - Overall</t>
  </si>
  <si>
    <t>Chute Mfg.,</t>
  </si>
  <si>
    <t>Conveyor Man.fab 
(Non - Complex) - 220T</t>
  </si>
  <si>
    <t>Conveyor Man.fab 
(Complex) - 80T</t>
  </si>
  <si>
    <t>Skid Mfg., - 220T</t>
  </si>
  <si>
    <t>Robot 1 (125T)</t>
  </si>
  <si>
    <t>Robot 2 (245T)</t>
  </si>
  <si>
    <t>Robot 3 (254T)</t>
  </si>
  <si>
    <t>Finishing Process - Overall</t>
  </si>
  <si>
    <t>Powder coating (850T)</t>
  </si>
  <si>
    <t>Manual Painting (450T)</t>
  </si>
  <si>
    <t>Open yard Painting (100T)</t>
  </si>
  <si>
    <t>GRN - 1500T</t>
  </si>
  <si>
    <t>Assembly (200T)</t>
  </si>
  <si>
    <t>Kitting (400T)</t>
  </si>
  <si>
    <t>Category wise Manpower Requirement Spilitup - As on 18-May-26</t>
  </si>
  <si>
    <t>Documentation</t>
  </si>
  <si>
    <t>foreman</t>
  </si>
  <si>
    <t>Dispatch Manpower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</si>
</sst>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ptos Display"/>
      <family val="2"/>
    </font>
    <font>
      <sz val="11"/>
      <color theme="0"/>
      <name val="Calibri"/>
      <family val="2"/>
      <scheme val="minor"/>
    </font>
    <font>
      <b/>
      <sz val="11"/>
      <color theme="1"/>
      <name val="Aptos Display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28" Type="http://schemas.microsoft.com/office/2017/10/relationships/person" Target="persons/person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vaneethan S" id="{2FC90EB5-0BFC-42F4-925C-DE05FC3D78E8}" userId="S::navaneethan@propelind.com::53ecae07-bb63-4a3e-a5a1-36142bf26e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40" dT="2026-06-10T03:05:13.69" personId="{2FC90EB5-0BFC-42F4-925C-DE05FC3D78E8}" id="{A907AB84-FBA8-4CD2-AFFD-D7A8D62179F6}">
    <text xml:space="preserve">Trainee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C8B4-1D3F-4190-99F7-F7FDD429CFDF}">
  <sheetPr>
    <tabColor rgb="FFFFC000"/>
  </sheetPr>
  <dimension ref="B1:Q35"/>
  <sheetViews>
    <sheetView showGridLines="0" zoomScale="71" workbookViewId="0">
      <selection activeCell="R12" sqref="R12"/>
    </sheetView>
  </sheetViews>
  <sheetFormatPr defaultColWidth="8.6640625" defaultRowHeight="14.4"/>
  <cols>
    <col min="1" max="1" width="5.109375" style="2" customWidth="1"/>
    <col min="2" max="2" width="11.5546875" style="2" customWidth="1"/>
    <col min="3" max="3" width="8.6640625" style="2"/>
    <col min="4" max="15" width="8.6640625" style="1"/>
    <col min="16" max="16" width="8.6640625" style="2"/>
    <col min="17" max="17" width="9.6640625" style="2" bestFit="1" customWidth="1"/>
    <col min="18" max="16384" width="8.6640625" style="2"/>
  </cols>
  <sheetData>
    <row r="1" spans="2:17" ht="20.100000000000001" customHeight="1">
      <c r="B1" s="4" t="s">
        <v>42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2:17" ht="69">
      <c r="B2" s="7" t="s">
        <v>35</v>
      </c>
      <c r="C2" s="8" t="s">
        <v>21</v>
      </c>
      <c r="D2" s="9" t="s">
        <v>1</v>
      </c>
      <c r="E2" s="9" t="s">
        <v>2</v>
      </c>
      <c r="F2" s="9" t="s">
        <v>0</v>
      </c>
      <c r="G2" s="9" t="s">
        <v>3</v>
      </c>
      <c r="H2" s="10" t="s">
        <v>4</v>
      </c>
      <c r="I2" s="9" t="s">
        <v>5</v>
      </c>
      <c r="J2" s="9" t="s">
        <v>24</v>
      </c>
      <c r="K2" s="11" t="s">
        <v>9</v>
      </c>
      <c r="L2" s="9" t="s">
        <v>19</v>
      </c>
      <c r="M2" s="12" t="s">
        <v>15</v>
      </c>
      <c r="N2" s="9" t="s">
        <v>18</v>
      </c>
      <c r="O2" s="10" t="s">
        <v>14</v>
      </c>
      <c r="P2" s="10" t="s">
        <v>12</v>
      </c>
      <c r="Q2" s="10" t="s">
        <v>20</v>
      </c>
    </row>
    <row r="3" spans="2:17" ht="20.100000000000001" customHeight="1">
      <c r="B3" s="7"/>
      <c r="C3" s="8" t="s">
        <v>7</v>
      </c>
      <c r="D3" s="13">
        <v>1</v>
      </c>
      <c r="E3" s="13">
        <v>4</v>
      </c>
      <c r="F3" s="13">
        <f t="shared" ref="F3:L3" si="0">F8+F13+F18+F23+F28+F33</f>
        <v>0</v>
      </c>
      <c r="G3" s="13">
        <f t="shared" si="0"/>
        <v>0</v>
      </c>
      <c r="H3" s="13">
        <v>48</v>
      </c>
      <c r="I3" s="13">
        <v>11</v>
      </c>
      <c r="J3" s="13">
        <v>19</v>
      </c>
      <c r="K3" s="13">
        <v>1</v>
      </c>
      <c r="L3" s="13">
        <f t="shared" si="0"/>
        <v>0</v>
      </c>
      <c r="M3" s="13">
        <v>3</v>
      </c>
      <c r="N3" s="13">
        <v>5</v>
      </c>
      <c r="O3" s="13">
        <v>7</v>
      </c>
      <c r="P3" s="13">
        <v>15</v>
      </c>
      <c r="Q3" s="12">
        <f>SUM(D3:P3)</f>
        <v>114</v>
      </c>
    </row>
    <row r="4" spans="2:17" ht="20.100000000000001" customHeight="1">
      <c r="B4" s="7"/>
      <c r="C4" s="8" t="s">
        <v>8</v>
      </c>
      <c r="D4" s="13">
        <f>D9+D14+D19+D24+D29+D34</f>
        <v>0</v>
      </c>
      <c r="E4" s="13">
        <f t="shared" ref="E4:O4" si="1">E9+E14+E19+E24+E29+E34</f>
        <v>2</v>
      </c>
      <c r="F4" s="13">
        <f t="shared" si="1"/>
        <v>0</v>
      </c>
      <c r="G4" s="13">
        <f t="shared" si="1"/>
        <v>0</v>
      </c>
      <c r="H4" s="13">
        <v>65</v>
      </c>
      <c r="I4" s="13">
        <f t="shared" si="1"/>
        <v>10</v>
      </c>
      <c r="J4" s="13">
        <v>15</v>
      </c>
      <c r="K4" s="13">
        <f t="shared" si="1"/>
        <v>0</v>
      </c>
      <c r="L4" s="13">
        <f t="shared" si="1"/>
        <v>0</v>
      </c>
      <c r="M4" s="13">
        <f t="shared" si="1"/>
        <v>0</v>
      </c>
      <c r="N4" s="13">
        <v>3</v>
      </c>
      <c r="O4" s="13">
        <f t="shared" si="1"/>
        <v>8</v>
      </c>
      <c r="P4" s="13">
        <v>12</v>
      </c>
      <c r="Q4" s="12">
        <f>SUM(D4:P4)</f>
        <v>115</v>
      </c>
    </row>
    <row r="5" spans="2:17" s="3" customFormat="1" ht="20.100000000000001" customHeight="1">
      <c r="B5" s="7"/>
      <c r="C5" s="8" t="s">
        <v>17</v>
      </c>
      <c r="D5" s="12">
        <f>D3-D4</f>
        <v>1</v>
      </c>
      <c r="E5" s="12">
        <f t="shared" ref="E5:P5" si="2">E3-E4</f>
        <v>2</v>
      </c>
      <c r="F5" s="12">
        <f t="shared" si="2"/>
        <v>0</v>
      </c>
      <c r="G5" s="12">
        <f t="shared" si="2"/>
        <v>0</v>
      </c>
      <c r="H5" s="12">
        <f t="shared" si="2"/>
        <v>-17</v>
      </c>
      <c r="I5" s="12">
        <f t="shared" si="2"/>
        <v>1</v>
      </c>
      <c r="J5" s="12">
        <f t="shared" si="2"/>
        <v>4</v>
      </c>
      <c r="K5" s="12">
        <f t="shared" si="2"/>
        <v>1</v>
      </c>
      <c r="L5" s="12">
        <f t="shared" si="2"/>
        <v>0</v>
      </c>
      <c r="M5" s="12">
        <f t="shared" si="2"/>
        <v>3</v>
      </c>
      <c r="N5" s="12">
        <f t="shared" si="2"/>
        <v>2</v>
      </c>
      <c r="O5" s="12">
        <f t="shared" si="2"/>
        <v>-1</v>
      </c>
      <c r="P5" s="12">
        <f t="shared" si="2"/>
        <v>3</v>
      </c>
      <c r="Q5" s="12">
        <f>Q3-Q4</f>
        <v>-1</v>
      </c>
    </row>
    <row r="6" spans="2:17" s="3" customFormat="1" ht="20.100000000000001" customHeight="1">
      <c r="B6" s="14"/>
      <c r="C6" s="1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2:17" ht="69">
      <c r="B7" s="7" t="s">
        <v>36</v>
      </c>
      <c r="C7" s="8" t="s">
        <v>21</v>
      </c>
      <c r="D7" s="9" t="s">
        <v>1</v>
      </c>
      <c r="E7" s="9" t="s">
        <v>2</v>
      </c>
      <c r="F7" s="9" t="s">
        <v>0</v>
      </c>
      <c r="G7" s="9" t="s">
        <v>3</v>
      </c>
      <c r="H7" s="10" t="s">
        <v>4</v>
      </c>
      <c r="I7" s="9" t="s">
        <v>5</v>
      </c>
      <c r="J7" s="9" t="s">
        <v>24</v>
      </c>
      <c r="K7" s="11" t="s">
        <v>9</v>
      </c>
      <c r="L7" s="9" t="s">
        <v>19</v>
      </c>
      <c r="M7" s="12" t="s">
        <v>15</v>
      </c>
      <c r="N7" s="9" t="s">
        <v>18</v>
      </c>
      <c r="O7" s="10" t="s">
        <v>14</v>
      </c>
      <c r="P7" s="10" t="s">
        <v>12</v>
      </c>
      <c r="Q7" s="10" t="s">
        <v>20</v>
      </c>
    </row>
    <row r="8" spans="2:17" ht="20.100000000000001" customHeight="1">
      <c r="B8" s="7"/>
      <c r="C8" s="8" t="s">
        <v>7</v>
      </c>
      <c r="D8" s="13">
        <v>0</v>
      </c>
      <c r="E8" s="13">
        <v>0</v>
      </c>
      <c r="F8" s="13">
        <v>0</v>
      </c>
      <c r="G8" s="13">
        <v>0</v>
      </c>
      <c r="H8" s="13">
        <v>15</v>
      </c>
      <c r="I8" s="13">
        <v>0</v>
      </c>
      <c r="J8" s="13">
        <v>3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7">
        <v>4</v>
      </c>
      <c r="Q8" s="12">
        <f>SUM(D8:P8)</f>
        <v>22</v>
      </c>
    </row>
    <row r="9" spans="2:17" ht="20.100000000000001" customHeight="1">
      <c r="B9" s="7"/>
      <c r="C9" s="8" t="s">
        <v>8</v>
      </c>
      <c r="D9" s="13">
        <v>0</v>
      </c>
      <c r="E9" s="13">
        <v>0</v>
      </c>
      <c r="F9" s="13">
        <v>0</v>
      </c>
      <c r="G9" s="13">
        <v>0</v>
      </c>
      <c r="H9" s="13">
        <v>12</v>
      </c>
      <c r="I9" s="13">
        <v>0</v>
      </c>
      <c r="J9" s="13">
        <v>3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7">
        <v>4</v>
      </c>
      <c r="Q9" s="12">
        <f>SUM(D9:P9)</f>
        <v>19</v>
      </c>
    </row>
    <row r="10" spans="2:17" s="3" customFormat="1" ht="20.100000000000001" customHeight="1">
      <c r="B10" s="7"/>
      <c r="C10" s="8" t="s">
        <v>17</v>
      </c>
      <c r="D10" s="12">
        <f>D9-D8</f>
        <v>0</v>
      </c>
      <c r="E10" s="12">
        <f t="shared" ref="E10:M10" si="3">E9-E8</f>
        <v>0</v>
      </c>
      <c r="F10" s="12">
        <f t="shared" si="3"/>
        <v>0</v>
      </c>
      <c r="G10" s="12">
        <f t="shared" si="3"/>
        <v>0</v>
      </c>
      <c r="H10" s="12">
        <f t="shared" si="3"/>
        <v>-3</v>
      </c>
      <c r="I10" s="12">
        <f t="shared" si="3"/>
        <v>0</v>
      </c>
      <c r="J10" s="12">
        <f t="shared" si="3"/>
        <v>0</v>
      </c>
      <c r="K10" s="12">
        <f t="shared" si="3"/>
        <v>0</v>
      </c>
      <c r="L10" s="12">
        <f t="shared" si="3"/>
        <v>0</v>
      </c>
      <c r="M10" s="12">
        <f t="shared" si="3"/>
        <v>0</v>
      </c>
      <c r="N10" s="12">
        <f>N9-N8</f>
        <v>0</v>
      </c>
      <c r="O10" s="12">
        <f>O9-O8</f>
        <v>0</v>
      </c>
      <c r="P10" s="12">
        <f>P9-P8</f>
        <v>0</v>
      </c>
      <c r="Q10" s="12">
        <f>Q9-Q8</f>
        <v>-3</v>
      </c>
    </row>
    <row r="11" spans="2:17">
      <c r="B11" s="18"/>
      <c r="C11" s="18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8"/>
      <c r="Q11" s="18"/>
    </row>
    <row r="12" spans="2:17" ht="69">
      <c r="B12" s="7" t="s">
        <v>37</v>
      </c>
      <c r="C12" s="8" t="s">
        <v>21</v>
      </c>
      <c r="D12" s="9" t="s">
        <v>1</v>
      </c>
      <c r="E12" s="9" t="s">
        <v>2</v>
      </c>
      <c r="F12" s="9" t="s">
        <v>0</v>
      </c>
      <c r="G12" s="9" t="s">
        <v>3</v>
      </c>
      <c r="H12" s="10" t="s">
        <v>4</v>
      </c>
      <c r="I12" s="9" t="s">
        <v>5</v>
      </c>
      <c r="J12" s="9" t="s">
        <v>24</v>
      </c>
      <c r="K12" s="11" t="s">
        <v>9</v>
      </c>
      <c r="L12" s="9" t="s">
        <v>19</v>
      </c>
      <c r="M12" s="12" t="s">
        <v>15</v>
      </c>
      <c r="N12" s="9" t="s">
        <v>18</v>
      </c>
      <c r="O12" s="10" t="s">
        <v>14</v>
      </c>
      <c r="P12" s="10" t="s">
        <v>12</v>
      </c>
      <c r="Q12" s="10" t="s">
        <v>20</v>
      </c>
    </row>
    <row r="13" spans="2:17" ht="20.100000000000001" customHeight="1">
      <c r="B13" s="7"/>
      <c r="C13" s="8" t="s">
        <v>7</v>
      </c>
      <c r="D13" s="13">
        <v>0</v>
      </c>
      <c r="E13" s="13">
        <v>0</v>
      </c>
      <c r="F13" s="13">
        <v>0</v>
      </c>
      <c r="G13" s="13">
        <v>0</v>
      </c>
      <c r="H13" s="13">
        <v>8</v>
      </c>
      <c r="I13" s="13">
        <v>0</v>
      </c>
      <c r="J13" s="13">
        <v>3</v>
      </c>
      <c r="K13" s="13">
        <v>0</v>
      </c>
      <c r="L13" s="13">
        <v>0</v>
      </c>
      <c r="M13" s="13">
        <v>0</v>
      </c>
      <c r="N13" s="13">
        <v>0</v>
      </c>
      <c r="O13" s="13">
        <v>4</v>
      </c>
      <c r="P13" s="17">
        <v>5</v>
      </c>
      <c r="Q13" s="12">
        <f>SUM(D13:P13)</f>
        <v>20</v>
      </c>
    </row>
    <row r="14" spans="2:17" ht="20.100000000000001" customHeight="1">
      <c r="B14" s="7"/>
      <c r="C14" s="8" t="s">
        <v>8</v>
      </c>
      <c r="D14" s="13">
        <v>0</v>
      </c>
      <c r="E14" s="13">
        <v>0</v>
      </c>
      <c r="F14" s="13">
        <v>0</v>
      </c>
      <c r="G14" s="13">
        <v>0</v>
      </c>
      <c r="H14" s="13">
        <v>10</v>
      </c>
      <c r="I14" s="13">
        <v>0</v>
      </c>
      <c r="J14" s="13">
        <v>3</v>
      </c>
      <c r="K14" s="13">
        <v>0</v>
      </c>
      <c r="L14" s="13">
        <v>0</v>
      </c>
      <c r="M14" s="13">
        <v>0</v>
      </c>
      <c r="N14" s="13">
        <v>0</v>
      </c>
      <c r="O14" s="13">
        <v>4</v>
      </c>
      <c r="P14" s="17">
        <v>5</v>
      </c>
      <c r="Q14" s="12">
        <f>SUM(D14:P14)</f>
        <v>22</v>
      </c>
    </row>
    <row r="15" spans="2:17" s="3" customFormat="1" ht="20.100000000000001" customHeight="1">
      <c r="B15" s="7"/>
      <c r="C15" s="8" t="s">
        <v>17</v>
      </c>
      <c r="D15" s="12">
        <f>D14-D13</f>
        <v>0</v>
      </c>
      <c r="E15" s="12">
        <f t="shared" ref="E15:M15" si="4">E14-E13</f>
        <v>0</v>
      </c>
      <c r="F15" s="12">
        <f t="shared" si="4"/>
        <v>0</v>
      </c>
      <c r="G15" s="12">
        <f t="shared" si="4"/>
        <v>0</v>
      </c>
      <c r="H15" s="12">
        <f t="shared" si="4"/>
        <v>2</v>
      </c>
      <c r="I15" s="12">
        <f t="shared" si="4"/>
        <v>0</v>
      </c>
      <c r="J15" s="12">
        <f t="shared" si="4"/>
        <v>0</v>
      </c>
      <c r="K15" s="12">
        <f t="shared" si="4"/>
        <v>0</v>
      </c>
      <c r="L15" s="12">
        <f t="shared" si="4"/>
        <v>0</v>
      </c>
      <c r="M15" s="12">
        <f t="shared" si="4"/>
        <v>0</v>
      </c>
      <c r="N15" s="12">
        <f>N14-N13</f>
        <v>0</v>
      </c>
      <c r="O15" s="12">
        <f>O14-O13</f>
        <v>0</v>
      </c>
      <c r="P15" s="12">
        <f>P14-P13</f>
        <v>0</v>
      </c>
      <c r="Q15" s="12">
        <f>Q14-Q13</f>
        <v>2</v>
      </c>
    </row>
    <row r="16" spans="2:17">
      <c r="B16" s="18"/>
      <c r="C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8"/>
      <c r="Q16" s="18"/>
    </row>
    <row r="17" spans="2:17" ht="69">
      <c r="B17" s="7" t="s">
        <v>38</v>
      </c>
      <c r="C17" s="8" t="s">
        <v>21</v>
      </c>
      <c r="D17" s="9" t="s">
        <v>1</v>
      </c>
      <c r="E17" s="9" t="s">
        <v>2</v>
      </c>
      <c r="F17" s="9" t="s">
        <v>0</v>
      </c>
      <c r="G17" s="9" t="s">
        <v>3</v>
      </c>
      <c r="H17" s="10" t="s">
        <v>4</v>
      </c>
      <c r="I17" s="9" t="s">
        <v>5</v>
      </c>
      <c r="J17" s="9" t="s">
        <v>24</v>
      </c>
      <c r="K17" s="11" t="s">
        <v>9</v>
      </c>
      <c r="L17" s="9" t="s">
        <v>19</v>
      </c>
      <c r="M17" s="12" t="s">
        <v>15</v>
      </c>
      <c r="N17" s="9" t="s">
        <v>18</v>
      </c>
      <c r="O17" s="10" t="s">
        <v>14</v>
      </c>
      <c r="P17" s="10" t="s">
        <v>12</v>
      </c>
      <c r="Q17" s="10" t="s">
        <v>20</v>
      </c>
    </row>
    <row r="18" spans="2:17" ht="20.100000000000001" customHeight="1">
      <c r="B18" s="7"/>
      <c r="C18" s="8" t="s">
        <v>7</v>
      </c>
      <c r="D18" s="13">
        <v>0</v>
      </c>
      <c r="E18" s="13">
        <v>0</v>
      </c>
      <c r="F18" s="13">
        <v>0</v>
      </c>
      <c r="G18" s="13">
        <v>0</v>
      </c>
      <c r="H18" s="13">
        <v>13</v>
      </c>
      <c r="I18" s="13">
        <v>0</v>
      </c>
      <c r="J18" s="13">
        <v>2</v>
      </c>
      <c r="K18" s="13">
        <v>0</v>
      </c>
      <c r="L18" s="13">
        <v>0</v>
      </c>
      <c r="M18" s="13">
        <v>0</v>
      </c>
      <c r="N18" s="13">
        <v>0</v>
      </c>
      <c r="O18" s="13">
        <v>4</v>
      </c>
      <c r="P18" s="13">
        <v>4</v>
      </c>
      <c r="Q18" s="12">
        <f>SUM(D18:P18)</f>
        <v>23</v>
      </c>
    </row>
    <row r="19" spans="2:17" ht="20.100000000000001" customHeight="1">
      <c r="B19" s="7"/>
      <c r="C19" s="8" t="s">
        <v>8</v>
      </c>
      <c r="D19" s="13">
        <v>0</v>
      </c>
      <c r="E19" s="13">
        <v>0</v>
      </c>
      <c r="F19" s="13">
        <v>0</v>
      </c>
      <c r="G19" s="13">
        <v>0</v>
      </c>
      <c r="H19" s="13">
        <v>20</v>
      </c>
      <c r="I19" s="13">
        <v>0</v>
      </c>
      <c r="J19" s="13">
        <v>2</v>
      </c>
      <c r="K19" s="13">
        <v>0</v>
      </c>
      <c r="L19" s="13">
        <v>0</v>
      </c>
      <c r="M19" s="13">
        <v>0</v>
      </c>
      <c r="N19" s="13">
        <v>0</v>
      </c>
      <c r="O19" s="13">
        <v>4</v>
      </c>
      <c r="P19" s="13">
        <v>4</v>
      </c>
      <c r="Q19" s="12">
        <f>SUM(D19:P19)</f>
        <v>30</v>
      </c>
    </row>
    <row r="20" spans="2:17" s="3" customFormat="1" ht="20.100000000000001" customHeight="1">
      <c r="B20" s="7"/>
      <c r="C20" s="8" t="s">
        <v>17</v>
      </c>
      <c r="D20" s="12">
        <f>D19-D18</f>
        <v>0</v>
      </c>
      <c r="E20" s="12">
        <f t="shared" ref="E20:M20" si="5">E19-E18</f>
        <v>0</v>
      </c>
      <c r="F20" s="12">
        <f t="shared" si="5"/>
        <v>0</v>
      </c>
      <c r="G20" s="12">
        <f t="shared" si="5"/>
        <v>0</v>
      </c>
      <c r="H20" s="12">
        <f t="shared" si="5"/>
        <v>7</v>
      </c>
      <c r="I20" s="12">
        <f t="shared" si="5"/>
        <v>0</v>
      </c>
      <c r="J20" s="12">
        <f t="shared" si="5"/>
        <v>0</v>
      </c>
      <c r="K20" s="12">
        <f t="shared" si="5"/>
        <v>0</v>
      </c>
      <c r="L20" s="12">
        <f t="shared" si="5"/>
        <v>0</v>
      </c>
      <c r="M20" s="12">
        <f t="shared" si="5"/>
        <v>0</v>
      </c>
      <c r="N20" s="12">
        <f>N19-N18</f>
        <v>0</v>
      </c>
      <c r="O20" s="12">
        <f>O19-O18</f>
        <v>0</v>
      </c>
      <c r="P20" s="12">
        <f>P19-P18</f>
        <v>0</v>
      </c>
      <c r="Q20" s="12">
        <f>Q19-Q18</f>
        <v>7</v>
      </c>
    </row>
    <row r="21" spans="2:17">
      <c r="B21" s="18"/>
      <c r="C21" s="18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8"/>
      <c r="Q21" s="18"/>
    </row>
    <row r="22" spans="2:17" ht="69">
      <c r="B22" s="7" t="s">
        <v>39</v>
      </c>
      <c r="C22" s="8" t="s">
        <v>21</v>
      </c>
      <c r="D22" s="9" t="s">
        <v>1</v>
      </c>
      <c r="E22" s="9" t="s">
        <v>2</v>
      </c>
      <c r="F22" s="9" t="s">
        <v>0</v>
      </c>
      <c r="G22" s="9" t="s">
        <v>3</v>
      </c>
      <c r="H22" s="10" t="s">
        <v>4</v>
      </c>
      <c r="I22" s="9" t="s">
        <v>5</v>
      </c>
      <c r="J22" s="9" t="s">
        <v>24</v>
      </c>
      <c r="K22" s="11" t="s">
        <v>9</v>
      </c>
      <c r="L22" s="9" t="s">
        <v>19</v>
      </c>
      <c r="M22" s="12" t="s">
        <v>15</v>
      </c>
      <c r="N22" s="9" t="s">
        <v>18</v>
      </c>
      <c r="O22" s="10" t="s">
        <v>14</v>
      </c>
      <c r="P22" s="10" t="s">
        <v>12</v>
      </c>
      <c r="Q22" s="10" t="s">
        <v>20</v>
      </c>
    </row>
    <row r="23" spans="2:17" ht="20.100000000000001" customHeight="1">
      <c r="B23" s="7"/>
      <c r="C23" s="8" t="s">
        <v>7</v>
      </c>
      <c r="D23" s="13">
        <v>0</v>
      </c>
      <c r="E23" s="13">
        <v>0</v>
      </c>
      <c r="F23" s="13">
        <v>0</v>
      </c>
      <c r="G23" s="13">
        <v>0</v>
      </c>
      <c r="H23" s="13">
        <v>4</v>
      </c>
      <c r="I23" s="13">
        <v>10</v>
      </c>
      <c r="J23" s="13">
        <v>0</v>
      </c>
      <c r="K23" s="13">
        <v>0</v>
      </c>
      <c r="L23" s="13">
        <v>0</v>
      </c>
      <c r="M23" s="13">
        <v>0</v>
      </c>
      <c r="N23" s="13">
        <v>8</v>
      </c>
      <c r="O23" s="13">
        <v>0</v>
      </c>
      <c r="P23" s="13">
        <v>0</v>
      </c>
      <c r="Q23" s="12">
        <f>SUM(D23:P23)</f>
        <v>22</v>
      </c>
    </row>
    <row r="24" spans="2:17" ht="20.100000000000001" customHeight="1">
      <c r="B24" s="7"/>
      <c r="C24" s="8" t="s">
        <v>8</v>
      </c>
      <c r="D24" s="13">
        <v>0</v>
      </c>
      <c r="E24" s="13">
        <v>0</v>
      </c>
      <c r="F24" s="13">
        <v>0</v>
      </c>
      <c r="G24" s="13">
        <v>0</v>
      </c>
      <c r="H24" s="13">
        <v>4</v>
      </c>
      <c r="I24" s="13">
        <v>10</v>
      </c>
      <c r="J24" s="13">
        <v>0</v>
      </c>
      <c r="K24" s="13">
        <v>0</v>
      </c>
      <c r="L24" s="13">
        <v>0</v>
      </c>
      <c r="M24" s="13">
        <v>0</v>
      </c>
      <c r="N24" s="13">
        <v>4</v>
      </c>
      <c r="O24" s="13">
        <v>0</v>
      </c>
      <c r="P24" s="13">
        <v>0</v>
      </c>
      <c r="Q24" s="12">
        <f>SUM(D24:P24)</f>
        <v>18</v>
      </c>
    </row>
    <row r="25" spans="2:17" s="3" customFormat="1" ht="20.100000000000001" customHeight="1">
      <c r="B25" s="7"/>
      <c r="C25" s="8" t="s">
        <v>17</v>
      </c>
      <c r="D25" s="12">
        <f>D24-D23</f>
        <v>0</v>
      </c>
      <c r="E25" s="12">
        <f t="shared" ref="E25:M25" si="6">E24-E23</f>
        <v>0</v>
      </c>
      <c r="F25" s="12">
        <f t="shared" si="6"/>
        <v>0</v>
      </c>
      <c r="G25" s="12">
        <f t="shared" si="6"/>
        <v>0</v>
      </c>
      <c r="H25" s="12">
        <f t="shared" si="6"/>
        <v>0</v>
      </c>
      <c r="I25" s="12">
        <f t="shared" si="6"/>
        <v>0</v>
      </c>
      <c r="J25" s="12">
        <f t="shared" si="6"/>
        <v>0</v>
      </c>
      <c r="K25" s="12">
        <f t="shared" si="6"/>
        <v>0</v>
      </c>
      <c r="L25" s="12">
        <f t="shared" si="6"/>
        <v>0</v>
      </c>
      <c r="M25" s="12">
        <f t="shared" si="6"/>
        <v>0</v>
      </c>
      <c r="N25" s="12">
        <f>N24-N23</f>
        <v>-4</v>
      </c>
      <c r="O25" s="12">
        <f>O24-O23</f>
        <v>0</v>
      </c>
      <c r="P25" s="12">
        <f>P24-P23</f>
        <v>0</v>
      </c>
      <c r="Q25" s="12">
        <f>Q24-Q23</f>
        <v>-4</v>
      </c>
    </row>
    <row r="26" spans="2:17">
      <c r="B26" s="18"/>
      <c r="C26" s="18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8"/>
      <c r="Q26" s="18"/>
    </row>
    <row r="27" spans="2:17" ht="69">
      <c r="B27" s="7" t="s">
        <v>41</v>
      </c>
      <c r="C27" s="8" t="s">
        <v>21</v>
      </c>
      <c r="D27" s="9" t="s">
        <v>1</v>
      </c>
      <c r="E27" s="9" t="s">
        <v>2</v>
      </c>
      <c r="F27" s="9" t="s">
        <v>0</v>
      </c>
      <c r="G27" s="9" t="s">
        <v>3</v>
      </c>
      <c r="H27" s="10" t="s">
        <v>4</v>
      </c>
      <c r="I27" s="9" t="s">
        <v>5</v>
      </c>
      <c r="J27" s="9" t="s">
        <v>24</v>
      </c>
      <c r="K27" s="11" t="s">
        <v>9</v>
      </c>
      <c r="L27" s="9" t="s">
        <v>19</v>
      </c>
      <c r="M27" s="12" t="s">
        <v>15</v>
      </c>
      <c r="N27" s="9" t="s">
        <v>18</v>
      </c>
      <c r="O27" s="10" t="s">
        <v>14</v>
      </c>
      <c r="P27" s="10" t="s">
        <v>12</v>
      </c>
      <c r="Q27" s="10" t="s">
        <v>20</v>
      </c>
    </row>
    <row r="28" spans="2:17" ht="20.100000000000001" customHeight="1">
      <c r="B28" s="7"/>
      <c r="C28" s="8" t="s">
        <v>7</v>
      </c>
      <c r="D28" s="13">
        <v>0</v>
      </c>
      <c r="E28" s="13">
        <v>0</v>
      </c>
      <c r="F28" s="13">
        <v>0</v>
      </c>
      <c r="G28" s="13">
        <v>0</v>
      </c>
      <c r="H28" s="13">
        <v>8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2">
        <f>SUM(D28:P28)</f>
        <v>8</v>
      </c>
    </row>
    <row r="29" spans="2:17" ht="20.100000000000001" customHeight="1">
      <c r="B29" s="7"/>
      <c r="C29" s="8" t="s">
        <v>8</v>
      </c>
      <c r="D29" s="13">
        <v>0</v>
      </c>
      <c r="E29" s="13">
        <v>0</v>
      </c>
      <c r="F29" s="13">
        <v>0</v>
      </c>
      <c r="G29" s="13">
        <v>0</v>
      </c>
      <c r="H29" s="13">
        <v>5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2">
        <f>SUM(D29:P29)</f>
        <v>5</v>
      </c>
    </row>
    <row r="30" spans="2:17" s="3" customFormat="1" ht="20.100000000000001" customHeight="1">
      <c r="B30" s="7"/>
      <c r="C30" s="8" t="s">
        <v>17</v>
      </c>
      <c r="D30" s="12">
        <f>D29-D28</f>
        <v>0</v>
      </c>
      <c r="E30" s="12">
        <f t="shared" ref="E30:M30" si="7">E29-E28</f>
        <v>0</v>
      </c>
      <c r="F30" s="12">
        <f t="shared" si="7"/>
        <v>0</v>
      </c>
      <c r="G30" s="12">
        <f t="shared" si="7"/>
        <v>0</v>
      </c>
      <c r="H30" s="12">
        <f t="shared" si="7"/>
        <v>-3</v>
      </c>
      <c r="I30" s="12">
        <f t="shared" si="7"/>
        <v>0</v>
      </c>
      <c r="J30" s="12">
        <f t="shared" si="7"/>
        <v>0</v>
      </c>
      <c r="K30" s="12">
        <f t="shared" si="7"/>
        <v>0</v>
      </c>
      <c r="L30" s="12">
        <f t="shared" si="7"/>
        <v>0</v>
      </c>
      <c r="M30" s="12">
        <f t="shared" si="7"/>
        <v>0</v>
      </c>
      <c r="N30" s="12">
        <f>N29-N28</f>
        <v>0</v>
      </c>
      <c r="O30" s="12">
        <f>O29-O28</f>
        <v>0</v>
      </c>
      <c r="P30" s="12">
        <f>P29-P28</f>
        <v>0</v>
      </c>
      <c r="Q30" s="12">
        <f>Q29-Q28</f>
        <v>-3</v>
      </c>
    </row>
    <row r="31" spans="2:17">
      <c r="B31" s="18"/>
      <c r="C31" s="18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8"/>
      <c r="Q31" s="18"/>
    </row>
    <row r="32" spans="2:17" ht="69">
      <c r="B32" s="7" t="s">
        <v>40</v>
      </c>
      <c r="C32" s="8" t="s">
        <v>21</v>
      </c>
      <c r="D32" s="9" t="s">
        <v>1</v>
      </c>
      <c r="E32" s="9" t="s">
        <v>2</v>
      </c>
      <c r="F32" s="9" t="s">
        <v>0</v>
      </c>
      <c r="G32" s="9" t="s">
        <v>3</v>
      </c>
      <c r="H32" s="10" t="s">
        <v>4</v>
      </c>
      <c r="I32" s="9" t="s">
        <v>5</v>
      </c>
      <c r="J32" s="9" t="s">
        <v>24</v>
      </c>
      <c r="K32" s="11" t="s">
        <v>9</v>
      </c>
      <c r="L32" s="9" t="s">
        <v>19</v>
      </c>
      <c r="M32" s="12" t="s">
        <v>15</v>
      </c>
      <c r="N32" s="9" t="s">
        <v>18</v>
      </c>
      <c r="O32" s="10" t="s">
        <v>14</v>
      </c>
      <c r="P32" s="10" t="s">
        <v>12</v>
      </c>
      <c r="Q32" s="10" t="s">
        <v>20</v>
      </c>
    </row>
    <row r="33" spans="2:17" ht="20.100000000000001" customHeight="1">
      <c r="B33" s="7"/>
      <c r="C33" s="8" t="s">
        <v>7</v>
      </c>
      <c r="D33" s="13">
        <v>0</v>
      </c>
      <c r="E33" s="13">
        <v>5</v>
      </c>
      <c r="F33" s="13">
        <v>0</v>
      </c>
      <c r="G33" s="13">
        <v>0</v>
      </c>
      <c r="H33" s="13">
        <v>3</v>
      </c>
      <c r="I33" s="13">
        <v>3</v>
      </c>
      <c r="J33" s="13">
        <v>10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2">
        <f>SUM(D33:P33)</f>
        <v>21</v>
      </c>
    </row>
    <row r="34" spans="2:17" ht="20.100000000000001" customHeight="1">
      <c r="B34" s="7"/>
      <c r="C34" s="8" t="s">
        <v>8</v>
      </c>
      <c r="D34" s="13">
        <v>0</v>
      </c>
      <c r="E34" s="13">
        <v>2</v>
      </c>
      <c r="F34" s="13">
        <v>0</v>
      </c>
      <c r="G34" s="13">
        <v>0</v>
      </c>
      <c r="H34" s="13">
        <v>2</v>
      </c>
      <c r="I34" s="13">
        <v>0</v>
      </c>
      <c r="J34" s="13">
        <v>6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2">
        <f>SUM(D34:P34)</f>
        <v>10</v>
      </c>
    </row>
    <row r="35" spans="2:17" s="3" customFormat="1" ht="20.100000000000001" customHeight="1">
      <c r="B35" s="7"/>
      <c r="C35" s="8" t="s">
        <v>17</v>
      </c>
      <c r="D35" s="12">
        <f>D34-D33</f>
        <v>0</v>
      </c>
      <c r="E35" s="12">
        <f t="shared" ref="E35:M35" si="8">E34-E33</f>
        <v>-3</v>
      </c>
      <c r="F35" s="12">
        <f t="shared" si="8"/>
        <v>0</v>
      </c>
      <c r="G35" s="12">
        <f t="shared" si="8"/>
        <v>0</v>
      </c>
      <c r="H35" s="12">
        <f t="shared" si="8"/>
        <v>-1</v>
      </c>
      <c r="I35" s="12">
        <f t="shared" si="8"/>
        <v>-3</v>
      </c>
      <c r="J35" s="12">
        <f t="shared" si="8"/>
        <v>-4</v>
      </c>
      <c r="K35" s="12">
        <f t="shared" si="8"/>
        <v>0</v>
      </c>
      <c r="L35" s="12">
        <f t="shared" si="8"/>
        <v>0</v>
      </c>
      <c r="M35" s="12">
        <f t="shared" si="8"/>
        <v>0</v>
      </c>
      <c r="N35" s="12">
        <f>N34-N33</f>
        <v>0</v>
      </c>
      <c r="O35" s="12">
        <f>O34-O33</f>
        <v>0</v>
      </c>
      <c r="P35" s="12">
        <f>P34-P33</f>
        <v>0</v>
      </c>
      <c r="Q35" s="12">
        <f>Q34-Q33</f>
        <v>-11</v>
      </c>
    </row>
  </sheetData>
  <mergeCells count="8">
    <mergeCell ref="B27:B30"/>
    <mergeCell ref="B32:B35"/>
    <mergeCell ref="B1:Q1"/>
    <mergeCell ref="B2:B5"/>
    <mergeCell ref="B7:B10"/>
    <mergeCell ref="B12:B15"/>
    <mergeCell ref="B17:B20"/>
    <mergeCell ref="B22:B2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75F2-E1D3-4387-8F3B-EE5EA0012C72}">
  <sheetPr>
    <tabColor rgb="FFFFC000"/>
  </sheetPr>
  <dimension ref="B2:Q46"/>
  <sheetViews>
    <sheetView showGridLines="0" zoomScale="68" workbookViewId="0">
      <selection activeCell="B2" sqref="B2:Q46"/>
    </sheetView>
  </sheetViews>
  <sheetFormatPr defaultColWidth="8.6640625" defaultRowHeight="14.4"/>
  <cols>
    <col min="1" max="1" width="5.109375" style="2" customWidth="1"/>
    <col min="2" max="2" width="11.5546875" style="2" customWidth="1"/>
    <col min="3" max="3" width="8.6640625" style="2"/>
    <col min="4" max="15" width="8.6640625" style="1"/>
    <col min="16" max="16" width="8.6640625" style="2"/>
    <col min="17" max="17" width="9.6640625" style="2" bestFit="1" customWidth="1"/>
    <col min="18" max="16384" width="8.6640625" style="2"/>
  </cols>
  <sheetData>
    <row r="2" spans="2:17" ht="20.100000000000001" customHeight="1">
      <c r="B2" s="4" t="s">
        <v>42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2:17" ht="69">
      <c r="B3" s="7" t="s">
        <v>27</v>
      </c>
      <c r="C3" s="8" t="s">
        <v>21</v>
      </c>
      <c r="D3" s="9" t="s">
        <v>1</v>
      </c>
      <c r="E3" s="9" t="s">
        <v>2</v>
      </c>
      <c r="F3" s="9" t="s">
        <v>0</v>
      </c>
      <c r="G3" s="9" t="s">
        <v>3</v>
      </c>
      <c r="H3" s="10" t="s">
        <v>4</v>
      </c>
      <c r="I3" s="9" t="s">
        <v>5</v>
      </c>
      <c r="J3" s="9" t="s">
        <v>24</v>
      </c>
      <c r="K3" s="11" t="s">
        <v>9</v>
      </c>
      <c r="L3" s="9" t="s">
        <v>19</v>
      </c>
      <c r="M3" s="12" t="s">
        <v>15</v>
      </c>
      <c r="N3" s="9" t="s">
        <v>18</v>
      </c>
      <c r="O3" s="10" t="s">
        <v>14</v>
      </c>
      <c r="P3" s="10" t="s">
        <v>12</v>
      </c>
      <c r="Q3" s="10" t="s">
        <v>20</v>
      </c>
    </row>
    <row r="4" spans="2:17" ht="20.100000000000001" customHeight="1">
      <c r="B4" s="7"/>
      <c r="C4" s="8" t="s">
        <v>7</v>
      </c>
      <c r="D4" s="13">
        <v>21</v>
      </c>
      <c r="E4" s="13">
        <v>10</v>
      </c>
      <c r="F4" s="13">
        <v>54</v>
      </c>
      <c r="G4" s="13">
        <f t="shared" ref="G4:P4" si="0">G9+G14+G19+G24+G29+G34+G39+G44</f>
        <v>50</v>
      </c>
      <c r="H4" s="13">
        <v>44</v>
      </c>
      <c r="I4" s="13">
        <f t="shared" si="0"/>
        <v>0</v>
      </c>
      <c r="J4" s="13">
        <f t="shared" si="0"/>
        <v>20</v>
      </c>
      <c r="K4" s="13">
        <f t="shared" si="0"/>
        <v>6</v>
      </c>
      <c r="L4" s="13">
        <f t="shared" si="0"/>
        <v>0</v>
      </c>
      <c r="M4" s="13">
        <f t="shared" si="0"/>
        <v>21</v>
      </c>
      <c r="N4" s="13">
        <f t="shared" si="0"/>
        <v>0</v>
      </c>
      <c r="O4" s="13">
        <f t="shared" si="0"/>
        <v>0</v>
      </c>
      <c r="P4" s="13">
        <f t="shared" si="0"/>
        <v>0</v>
      </c>
      <c r="Q4" s="12">
        <f>SUM(D4:P4)</f>
        <v>226</v>
      </c>
    </row>
    <row r="5" spans="2:17" ht="20.100000000000001" customHeight="1">
      <c r="B5" s="7"/>
      <c r="C5" s="8" t="s">
        <v>8</v>
      </c>
      <c r="D5" s="13">
        <f>D10+D15+D20+D25+D30+D35+D40+D45</f>
        <v>17</v>
      </c>
      <c r="E5" s="13">
        <f t="shared" ref="E5:P5" si="1">E10+E15+E20+E25+E30+E35+E40+E45</f>
        <v>7</v>
      </c>
      <c r="F5" s="13">
        <f t="shared" si="1"/>
        <v>32</v>
      </c>
      <c r="G5" s="13">
        <f t="shared" si="1"/>
        <v>41</v>
      </c>
      <c r="H5" s="13">
        <v>21</v>
      </c>
      <c r="I5" s="13">
        <f t="shared" si="1"/>
        <v>0</v>
      </c>
      <c r="J5" s="13">
        <f t="shared" si="1"/>
        <v>18</v>
      </c>
      <c r="K5" s="13">
        <f t="shared" si="1"/>
        <v>5</v>
      </c>
      <c r="L5" s="13">
        <f t="shared" si="1"/>
        <v>0</v>
      </c>
      <c r="M5" s="13">
        <f t="shared" si="1"/>
        <v>15</v>
      </c>
      <c r="N5" s="13">
        <f t="shared" si="1"/>
        <v>0</v>
      </c>
      <c r="O5" s="13">
        <f t="shared" si="1"/>
        <v>0</v>
      </c>
      <c r="P5" s="13">
        <f t="shared" si="1"/>
        <v>0</v>
      </c>
      <c r="Q5" s="12">
        <f>SUM(D5:P5)</f>
        <v>156</v>
      </c>
    </row>
    <row r="6" spans="2:17" s="3" customFormat="1" ht="20.100000000000001" customHeight="1">
      <c r="B6" s="7"/>
      <c r="C6" s="8" t="s">
        <v>17</v>
      </c>
      <c r="D6" s="12">
        <f>D4-D5</f>
        <v>4</v>
      </c>
      <c r="E6" s="12">
        <f t="shared" ref="E6:P6" si="2">E4-E5</f>
        <v>3</v>
      </c>
      <c r="F6" s="12">
        <f t="shared" si="2"/>
        <v>22</v>
      </c>
      <c r="G6" s="12">
        <f t="shared" si="2"/>
        <v>9</v>
      </c>
      <c r="H6" s="12">
        <f t="shared" si="2"/>
        <v>23</v>
      </c>
      <c r="I6" s="12">
        <f t="shared" si="2"/>
        <v>0</v>
      </c>
      <c r="J6" s="12">
        <f t="shared" si="2"/>
        <v>2</v>
      </c>
      <c r="K6" s="12">
        <f t="shared" si="2"/>
        <v>1</v>
      </c>
      <c r="L6" s="12">
        <f t="shared" si="2"/>
        <v>0</v>
      </c>
      <c r="M6" s="12">
        <f t="shared" si="2"/>
        <v>6</v>
      </c>
      <c r="N6" s="12">
        <f t="shared" si="2"/>
        <v>0</v>
      </c>
      <c r="O6" s="12">
        <f t="shared" si="2"/>
        <v>0</v>
      </c>
      <c r="P6" s="12">
        <f t="shared" si="2"/>
        <v>0</v>
      </c>
      <c r="Q6" s="12">
        <f>Q4-Q5</f>
        <v>70</v>
      </c>
    </row>
    <row r="7" spans="2:17" s="3" customFormat="1" ht="20.100000000000001" customHeight="1">
      <c r="B7" s="14"/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2:17" ht="69">
      <c r="B8" s="7" t="s">
        <v>29</v>
      </c>
      <c r="C8" s="8" t="s">
        <v>21</v>
      </c>
      <c r="D8" s="9" t="s">
        <v>1</v>
      </c>
      <c r="E8" s="9" t="s">
        <v>2</v>
      </c>
      <c r="F8" s="9" t="s">
        <v>0</v>
      </c>
      <c r="G8" s="9" t="s">
        <v>3</v>
      </c>
      <c r="H8" s="10" t="s">
        <v>4</v>
      </c>
      <c r="I8" s="9" t="s">
        <v>5</v>
      </c>
      <c r="J8" s="9" t="s">
        <v>24</v>
      </c>
      <c r="K8" s="11" t="s">
        <v>9</v>
      </c>
      <c r="L8" s="9" t="s">
        <v>19</v>
      </c>
      <c r="M8" s="12" t="s">
        <v>15</v>
      </c>
      <c r="N8" s="9" t="s">
        <v>18</v>
      </c>
      <c r="O8" s="10" t="s">
        <v>14</v>
      </c>
      <c r="P8" s="10" t="s">
        <v>12</v>
      </c>
      <c r="Q8" s="10" t="s">
        <v>20</v>
      </c>
    </row>
    <row r="9" spans="2:17" ht="20.100000000000001" customHeight="1">
      <c r="B9" s="7"/>
      <c r="C9" s="8" t="s">
        <v>7</v>
      </c>
      <c r="D9" s="13">
        <v>9</v>
      </c>
      <c r="E9" s="13">
        <v>4</v>
      </c>
      <c r="F9" s="13">
        <v>18</v>
      </c>
      <c r="G9" s="13">
        <v>12</v>
      </c>
      <c r="H9" s="13">
        <v>17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2">
        <f>SUM(D9:P9)</f>
        <v>60</v>
      </c>
    </row>
    <row r="10" spans="2:17" ht="20.100000000000001" customHeight="1">
      <c r="B10" s="7"/>
      <c r="C10" s="8" t="s">
        <v>8</v>
      </c>
      <c r="D10" s="13">
        <v>8</v>
      </c>
      <c r="E10" s="13">
        <v>3</v>
      </c>
      <c r="F10" s="13">
        <v>11</v>
      </c>
      <c r="G10" s="13">
        <v>12</v>
      </c>
      <c r="H10" s="13">
        <v>17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2">
        <f>SUM(D10:P10)</f>
        <v>51</v>
      </c>
    </row>
    <row r="11" spans="2:17" s="3" customFormat="1" ht="20.100000000000001" customHeight="1">
      <c r="B11" s="7"/>
      <c r="C11" s="8" t="s">
        <v>17</v>
      </c>
      <c r="D11" s="12">
        <f>D10-D9</f>
        <v>-1</v>
      </c>
      <c r="E11" s="12">
        <f t="shared" ref="E11:M11" si="3">E10-E9</f>
        <v>-1</v>
      </c>
      <c r="F11" s="12">
        <f t="shared" si="3"/>
        <v>-7</v>
      </c>
      <c r="G11" s="12">
        <f t="shared" si="3"/>
        <v>0</v>
      </c>
      <c r="H11" s="12">
        <f t="shared" si="3"/>
        <v>0</v>
      </c>
      <c r="I11" s="12">
        <f t="shared" si="3"/>
        <v>0</v>
      </c>
      <c r="J11" s="12">
        <f t="shared" si="3"/>
        <v>0</v>
      </c>
      <c r="K11" s="12">
        <f t="shared" si="3"/>
        <v>0</v>
      </c>
      <c r="L11" s="12">
        <f t="shared" si="3"/>
        <v>0</v>
      </c>
      <c r="M11" s="12">
        <f t="shared" si="3"/>
        <v>0</v>
      </c>
      <c r="N11" s="12">
        <f>N10-N9</f>
        <v>0</v>
      </c>
      <c r="O11" s="12">
        <f>O10-O9</f>
        <v>0</v>
      </c>
      <c r="P11" s="12">
        <f>P10-P9</f>
        <v>0</v>
      </c>
      <c r="Q11" s="12">
        <f>Q10-Q9</f>
        <v>-9</v>
      </c>
    </row>
    <row r="12" spans="2:17">
      <c r="B12" s="18"/>
      <c r="C12" s="18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8"/>
      <c r="Q12" s="18"/>
    </row>
    <row r="13" spans="2:17" ht="69">
      <c r="B13" s="7" t="s">
        <v>30</v>
      </c>
      <c r="C13" s="8" t="s">
        <v>21</v>
      </c>
      <c r="D13" s="9" t="s">
        <v>1</v>
      </c>
      <c r="E13" s="9" t="s">
        <v>2</v>
      </c>
      <c r="F13" s="9" t="s">
        <v>0</v>
      </c>
      <c r="G13" s="9" t="s">
        <v>3</v>
      </c>
      <c r="H13" s="10" t="s">
        <v>4</v>
      </c>
      <c r="I13" s="9" t="s">
        <v>5</v>
      </c>
      <c r="J13" s="9" t="s">
        <v>24</v>
      </c>
      <c r="K13" s="11" t="s">
        <v>9</v>
      </c>
      <c r="L13" s="9" t="s">
        <v>19</v>
      </c>
      <c r="M13" s="12" t="s">
        <v>15</v>
      </c>
      <c r="N13" s="9" t="s">
        <v>18</v>
      </c>
      <c r="O13" s="10" t="s">
        <v>14</v>
      </c>
      <c r="P13" s="10" t="s">
        <v>12</v>
      </c>
      <c r="Q13" s="10" t="s">
        <v>20</v>
      </c>
    </row>
    <row r="14" spans="2:17" ht="20.100000000000001" customHeight="1">
      <c r="B14" s="7"/>
      <c r="C14" s="8" t="s">
        <v>7</v>
      </c>
      <c r="D14" s="13">
        <v>5</v>
      </c>
      <c r="E14" s="13">
        <v>3</v>
      </c>
      <c r="F14" s="13">
        <v>10</v>
      </c>
      <c r="G14" s="13">
        <v>8</v>
      </c>
      <c r="H14" s="13">
        <v>10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2">
        <f>SUM(D14:P14)</f>
        <v>36</v>
      </c>
    </row>
    <row r="15" spans="2:17" ht="20.100000000000001" customHeight="1">
      <c r="B15" s="7"/>
      <c r="C15" s="8" t="s">
        <v>8</v>
      </c>
      <c r="D15" s="13">
        <v>0</v>
      </c>
      <c r="E15" s="13">
        <v>1</v>
      </c>
      <c r="F15" s="13">
        <v>2</v>
      </c>
      <c r="G15" s="13">
        <v>5</v>
      </c>
      <c r="H15" s="13">
        <v>10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2">
        <f>SUM(D15:P15)</f>
        <v>18</v>
      </c>
    </row>
    <row r="16" spans="2:17" s="3" customFormat="1" ht="20.100000000000001" customHeight="1">
      <c r="B16" s="7"/>
      <c r="C16" s="8" t="s">
        <v>17</v>
      </c>
      <c r="D16" s="12">
        <f>D15-D14</f>
        <v>-5</v>
      </c>
      <c r="E16" s="12">
        <f t="shared" ref="E16:M16" si="4">E15-E14</f>
        <v>-2</v>
      </c>
      <c r="F16" s="12">
        <f t="shared" si="4"/>
        <v>-8</v>
      </c>
      <c r="G16" s="12">
        <f t="shared" si="4"/>
        <v>-3</v>
      </c>
      <c r="H16" s="12">
        <f t="shared" si="4"/>
        <v>0</v>
      </c>
      <c r="I16" s="12">
        <f t="shared" si="4"/>
        <v>0</v>
      </c>
      <c r="J16" s="12">
        <f t="shared" si="4"/>
        <v>0</v>
      </c>
      <c r="K16" s="12">
        <f t="shared" si="4"/>
        <v>0</v>
      </c>
      <c r="L16" s="12">
        <f t="shared" si="4"/>
        <v>0</v>
      </c>
      <c r="M16" s="12">
        <f t="shared" si="4"/>
        <v>0</v>
      </c>
      <c r="N16" s="12">
        <f>N15-N14</f>
        <v>0</v>
      </c>
      <c r="O16" s="12">
        <f>O15-O14</f>
        <v>0</v>
      </c>
      <c r="P16" s="12">
        <f>P15-P14</f>
        <v>0</v>
      </c>
      <c r="Q16" s="12">
        <f>Q15-Q14</f>
        <v>-18</v>
      </c>
    </row>
    <row r="17" spans="2:17">
      <c r="B17" s="18"/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8"/>
      <c r="Q17" s="18"/>
    </row>
    <row r="18" spans="2:17" ht="69">
      <c r="B18" s="7" t="s">
        <v>31</v>
      </c>
      <c r="C18" s="8" t="s">
        <v>21</v>
      </c>
      <c r="D18" s="9" t="s">
        <v>1</v>
      </c>
      <c r="E18" s="9" t="s">
        <v>2</v>
      </c>
      <c r="F18" s="9" t="s">
        <v>0</v>
      </c>
      <c r="G18" s="9" t="s">
        <v>3</v>
      </c>
      <c r="H18" s="10" t="s">
        <v>4</v>
      </c>
      <c r="I18" s="9" t="s">
        <v>5</v>
      </c>
      <c r="J18" s="9" t="s">
        <v>24</v>
      </c>
      <c r="K18" s="11" t="s">
        <v>9</v>
      </c>
      <c r="L18" s="9" t="s">
        <v>19</v>
      </c>
      <c r="M18" s="12" t="s">
        <v>15</v>
      </c>
      <c r="N18" s="9" t="s">
        <v>18</v>
      </c>
      <c r="O18" s="10" t="s">
        <v>14</v>
      </c>
      <c r="P18" s="10" t="s">
        <v>12</v>
      </c>
      <c r="Q18" s="10" t="s">
        <v>20</v>
      </c>
    </row>
    <row r="19" spans="2:17" ht="20.100000000000001" customHeight="1">
      <c r="B19" s="7"/>
      <c r="C19" s="8" t="s">
        <v>7</v>
      </c>
      <c r="D19" s="13">
        <v>8</v>
      </c>
      <c r="E19" s="13">
        <v>5</v>
      </c>
      <c r="F19" s="13">
        <v>15</v>
      </c>
      <c r="G19" s="13">
        <v>19</v>
      </c>
      <c r="H19" s="13">
        <v>13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2">
        <f>SUM(D19:P19)</f>
        <v>60</v>
      </c>
    </row>
    <row r="20" spans="2:17" ht="20.100000000000001" customHeight="1">
      <c r="B20" s="7"/>
      <c r="C20" s="8" t="s">
        <v>8</v>
      </c>
      <c r="D20" s="13">
        <v>6</v>
      </c>
      <c r="E20" s="13">
        <v>3</v>
      </c>
      <c r="F20" s="13">
        <v>13</v>
      </c>
      <c r="G20" s="13">
        <v>15</v>
      </c>
      <c r="H20" s="13">
        <v>12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2">
        <f>SUM(D20:P20)</f>
        <v>49</v>
      </c>
    </row>
    <row r="21" spans="2:17" s="3" customFormat="1" ht="20.100000000000001" customHeight="1">
      <c r="B21" s="7"/>
      <c r="C21" s="8" t="s">
        <v>17</v>
      </c>
      <c r="D21" s="12">
        <f>D20-D19</f>
        <v>-2</v>
      </c>
      <c r="E21" s="12">
        <f t="shared" ref="E21:M21" si="5">E20-E19</f>
        <v>-2</v>
      </c>
      <c r="F21" s="12">
        <f t="shared" si="5"/>
        <v>-2</v>
      </c>
      <c r="G21" s="12">
        <f t="shared" si="5"/>
        <v>-4</v>
      </c>
      <c r="H21" s="12">
        <f t="shared" si="5"/>
        <v>-1</v>
      </c>
      <c r="I21" s="12">
        <f t="shared" si="5"/>
        <v>0</v>
      </c>
      <c r="J21" s="12">
        <f t="shared" si="5"/>
        <v>0</v>
      </c>
      <c r="K21" s="12">
        <f t="shared" si="5"/>
        <v>0</v>
      </c>
      <c r="L21" s="12">
        <f t="shared" si="5"/>
        <v>0</v>
      </c>
      <c r="M21" s="12">
        <f t="shared" si="5"/>
        <v>0</v>
      </c>
      <c r="N21" s="12">
        <f>N20-N19</f>
        <v>0</v>
      </c>
      <c r="O21" s="12">
        <f>O20-O19</f>
        <v>0</v>
      </c>
      <c r="P21" s="12">
        <f>P20-P19</f>
        <v>0</v>
      </c>
      <c r="Q21" s="12">
        <f>Q20-Q19</f>
        <v>-11</v>
      </c>
    </row>
    <row r="22" spans="2:17">
      <c r="B22" s="18"/>
      <c r="C22" s="18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8"/>
      <c r="Q22" s="18"/>
    </row>
    <row r="23" spans="2:17" ht="69">
      <c r="B23" s="7" t="s">
        <v>28</v>
      </c>
      <c r="C23" s="8" t="s">
        <v>21</v>
      </c>
      <c r="D23" s="9" t="s">
        <v>1</v>
      </c>
      <c r="E23" s="9" t="s">
        <v>2</v>
      </c>
      <c r="F23" s="9" t="s">
        <v>0</v>
      </c>
      <c r="G23" s="9" t="s">
        <v>3</v>
      </c>
      <c r="H23" s="10" t="s">
        <v>4</v>
      </c>
      <c r="I23" s="9" t="s">
        <v>5</v>
      </c>
      <c r="J23" s="9" t="s">
        <v>24</v>
      </c>
      <c r="K23" s="11" t="s">
        <v>9</v>
      </c>
      <c r="L23" s="9" t="s">
        <v>19</v>
      </c>
      <c r="M23" s="12" t="s">
        <v>15</v>
      </c>
      <c r="N23" s="9" t="s">
        <v>18</v>
      </c>
      <c r="O23" s="10" t="s">
        <v>14</v>
      </c>
      <c r="P23" s="10" t="s">
        <v>12</v>
      </c>
      <c r="Q23" s="10" t="s">
        <v>20</v>
      </c>
    </row>
    <row r="24" spans="2:17" ht="20.100000000000001" customHeight="1">
      <c r="B24" s="7"/>
      <c r="C24" s="8" t="s">
        <v>7</v>
      </c>
      <c r="D24" s="13">
        <v>7</v>
      </c>
      <c r="E24" s="13">
        <v>2</v>
      </c>
      <c r="F24" s="13">
        <v>10</v>
      </c>
      <c r="G24" s="13">
        <v>11</v>
      </c>
      <c r="H24" s="13">
        <v>6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2">
        <f>SUM(D24:P24)</f>
        <v>36</v>
      </c>
    </row>
    <row r="25" spans="2:17" ht="20.100000000000001" customHeight="1">
      <c r="B25" s="7"/>
      <c r="C25" s="8" t="s">
        <v>8</v>
      </c>
      <c r="D25" s="13">
        <v>3</v>
      </c>
      <c r="E25" s="13">
        <v>0</v>
      </c>
      <c r="F25" s="13">
        <v>3</v>
      </c>
      <c r="G25" s="13">
        <v>9</v>
      </c>
      <c r="H25" s="13">
        <v>6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2">
        <f>SUM(D25:P25)</f>
        <v>21</v>
      </c>
    </row>
    <row r="26" spans="2:17" s="3" customFormat="1" ht="20.100000000000001" customHeight="1">
      <c r="B26" s="7"/>
      <c r="C26" s="8" t="s">
        <v>17</v>
      </c>
      <c r="D26" s="12">
        <f>D25-D24</f>
        <v>-4</v>
      </c>
      <c r="E26" s="12">
        <f t="shared" ref="E26:M26" si="6">E25-E24</f>
        <v>-2</v>
      </c>
      <c r="F26" s="12">
        <f t="shared" si="6"/>
        <v>-7</v>
      </c>
      <c r="G26" s="12">
        <f t="shared" si="6"/>
        <v>-2</v>
      </c>
      <c r="H26" s="12">
        <f t="shared" si="6"/>
        <v>0</v>
      </c>
      <c r="I26" s="12">
        <f t="shared" si="6"/>
        <v>0</v>
      </c>
      <c r="J26" s="12">
        <f t="shared" si="6"/>
        <v>0</v>
      </c>
      <c r="K26" s="12">
        <f t="shared" si="6"/>
        <v>0</v>
      </c>
      <c r="L26" s="12">
        <f t="shared" si="6"/>
        <v>0</v>
      </c>
      <c r="M26" s="12">
        <f t="shared" si="6"/>
        <v>0</v>
      </c>
      <c r="N26" s="12">
        <f>N25-N24</f>
        <v>0</v>
      </c>
      <c r="O26" s="12">
        <f>O25-O24</f>
        <v>0</v>
      </c>
      <c r="P26" s="12">
        <f>P25-P24</f>
        <v>0</v>
      </c>
      <c r="Q26" s="12">
        <f>Q25-Q24</f>
        <v>-15</v>
      </c>
    </row>
    <row r="27" spans="2:17">
      <c r="B27" s="18"/>
      <c r="C27" s="18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8"/>
      <c r="Q27" s="18"/>
    </row>
    <row r="28" spans="2:17" ht="69">
      <c r="B28" s="7" t="s">
        <v>32</v>
      </c>
      <c r="C28" s="8" t="s">
        <v>21</v>
      </c>
      <c r="D28" s="9" t="s">
        <v>1</v>
      </c>
      <c r="E28" s="9" t="s">
        <v>2</v>
      </c>
      <c r="F28" s="9" t="s">
        <v>0</v>
      </c>
      <c r="G28" s="9" t="s">
        <v>3</v>
      </c>
      <c r="H28" s="10" t="s">
        <v>4</v>
      </c>
      <c r="I28" s="9" t="s">
        <v>5</v>
      </c>
      <c r="J28" s="9" t="s">
        <v>24</v>
      </c>
      <c r="K28" s="11" t="s">
        <v>9</v>
      </c>
      <c r="L28" s="9" t="s">
        <v>19</v>
      </c>
      <c r="M28" s="12" t="s">
        <v>15</v>
      </c>
      <c r="N28" s="9" t="s">
        <v>18</v>
      </c>
      <c r="O28" s="10" t="s">
        <v>14</v>
      </c>
      <c r="P28" s="10" t="s">
        <v>12</v>
      </c>
      <c r="Q28" s="10" t="s">
        <v>20</v>
      </c>
    </row>
    <row r="29" spans="2:17" ht="20.100000000000001" customHeight="1">
      <c r="B29" s="7"/>
      <c r="C29" s="8" t="s">
        <v>7</v>
      </c>
      <c r="D29" s="13">
        <v>0</v>
      </c>
      <c r="E29" s="13">
        <v>0</v>
      </c>
      <c r="F29" s="13">
        <v>3</v>
      </c>
      <c r="G29" s="13">
        <v>0</v>
      </c>
      <c r="H29" s="13">
        <v>0</v>
      </c>
      <c r="I29" s="13">
        <v>0</v>
      </c>
      <c r="J29" s="13">
        <v>4</v>
      </c>
      <c r="K29" s="13">
        <v>1</v>
      </c>
      <c r="L29" s="13">
        <v>0</v>
      </c>
      <c r="M29" s="13">
        <v>9</v>
      </c>
      <c r="N29" s="13">
        <v>0</v>
      </c>
      <c r="O29" s="13">
        <v>0</v>
      </c>
      <c r="P29" s="13">
        <v>0</v>
      </c>
      <c r="Q29" s="12">
        <f>SUM(D29:P29)</f>
        <v>17</v>
      </c>
    </row>
    <row r="30" spans="2:17" ht="20.100000000000001" customHeight="1">
      <c r="B30" s="7"/>
      <c r="C30" s="8" t="s">
        <v>8</v>
      </c>
      <c r="D30" s="13">
        <v>0</v>
      </c>
      <c r="E30" s="13">
        <v>0</v>
      </c>
      <c r="F30" s="13">
        <v>1</v>
      </c>
      <c r="G30" s="13">
        <v>0</v>
      </c>
      <c r="H30" s="13">
        <v>0</v>
      </c>
      <c r="I30" s="13">
        <v>0</v>
      </c>
      <c r="J30" s="13">
        <v>2</v>
      </c>
      <c r="K30" s="13">
        <v>1</v>
      </c>
      <c r="L30" s="13">
        <v>0</v>
      </c>
      <c r="M30" s="13">
        <v>3</v>
      </c>
      <c r="N30" s="13">
        <v>0</v>
      </c>
      <c r="O30" s="13">
        <v>0</v>
      </c>
      <c r="P30" s="13">
        <v>0</v>
      </c>
      <c r="Q30" s="12">
        <f>SUM(D30:P30)</f>
        <v>7</v>
      </c>
    </row>
    <row r="31" spans="2:17" s="3" customFormat="1" ht="20.100000000000001" customHeight="1">
      <c r="B31" s="7"/>
      <c r="C31" s="8" t="s">
        <v>17</v>
      </c>
      <c r="D31" s="12">
        <f>D30-D29</f>
        <v>0</v>
      </c>
      <c r="E31" s="12">
        <f t="shared" ref="E31:M31" si="7">E30-E29</f>
        <v>0</v>
      </c>
      <c r="F31" s="12">
        <f t="shared" si="7"/>
        <v>-2</v>
      </c>
      <c r="G31" s="12">
        <f t="shared" si="7"/>
        <v>0</v>
      </c>
      <c r="H31" s="12">
        <f t="shared" si="7"/>
        <v>0</v>
      </c>
      <c r="I31" s="12">
        <f t="shared" si="7"/>
        <v>0</v>
      </c>
      <c r="J31" s="12">
        <f t="shared" si="7"/>
        <v>-2</v>
      </c>
      <c r="K31" s="12">
        <f t="shared" si="7"/>
        <v>0</v>
      </c>
      <c r="L31" s="12">
        <f t="shared" si="7"/>
        <v>0</v>
      </c>
      <c r="M31" s="12">
        <f t="shared" si="7"/>
        <v>-6</v>
      </c>
      <c r="N31" s="12">
        <f>N30-N29</f>
        <v>0</v>
      </c>
      <c r="O31" s="12">
        <f>O30-O29</f>
        <v>0</v>
      </c>
      <c r="P31" s="12">
        <f>P30-P29</f>
        <v>0</v>
      </c>
      <c r="Q31" s="12">
        <f>Q30-Q29</f>
        <v>-10</v>
      </c>
    </row>
    <row r="32" spans="2:17">
      <c r="B32" s="18"/>
      <c r="C32" s="18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8"/>
      <c r="Q32" s="18"/>
    </row>
    <row r="33" spans="2:17" ht="69">
      <c r="B33" s="7" t="s">
        <v>33</v>
      </c>
      <c r="C33" s="8" t="s">
        <v>21</v>
      </c>
      <c r="D33" s="9" t="s">
        <v>1</v>
      </c>
      <c r="E33" s="9" t="s">
        <v>2</v>
      </c>
      <c r="F33" s="9" t="s">
        <v>0</v>
      </c>
      <c r="G33" s="9" t="s">
        <v>3</v>
      </c>
      <c r="H33" s="10" t="s">
        <v>4</v>
      </c>
      <c r="I33" s="9" t="s">
        <v>5</v>
      </c>
      <c r="J33" s="9" t="s">
        <v>24</v>
      </c>
      <c r="K33" s="11" t="s">
        <v>9</v>
      </c>
      <c r="L33" s="9" t="s">
        <v>19</v>
      </c>
      <c r="M33" s="12" t="s">
        <v>15</v>
      </c>
      <c r="N33" s="9" t="s">
        <v>18</v>
      </c>
      <c r="O33" s="10" t="s">
        <v>14</v>
      </c>
      <c r="P33" s="10" t="s">
        <v>12</v>
      </c>
      <c r="Q33" s="10" t="s">
        <v>20</v>
      </c>
    </row>
    <row r="34" spans="2:17" ht="20.100000000000001" customHeight="1">
      <c r="B34" s="7"/>
      <c r="C34" s="8" t="s">
        <v>7</v>
      </c>
      <c r="D34" s="13">
        <v>0</v>
      </c>
      <c r="E34" s="13">
        <v>0</v>
      </c>
      <c r="F34" s="13">
        <v>11</v>
      </c>
      <c r="G34" s="13">
        <v>0</v>
      </c>
      <c r="H34" s="13">
        <v>22</v>
      </c>
      <c r="I34" s="13">
        <v>0</v>
      </c>
      <c r="J34" s="13">
        <v>3</v>
      </c>
      <c r="K34" s="13">
        <v>2</v>
      </c>
      <c r="L34" s="13">
        <v>0</v>
      </c>
      <c r="M34" s="13">
        <v>6</v>
      </c>
      <c r="N34" s="13">
        <v>0</v>
      </c>
      <c r="O34" s="13">
        <v>0</v>
      </c>
      <c r="P34" s="13">
        <v>0</v>
      </c>
      <c r="Q34" s="12">
        <f>SUM(D34:P34)</f>
        <v>44</v>
      </c>
    </row>
    <row r="35" spans="2:17" ht="20.100000000000001" customHeight="1">
      <c r="B35" s="7"/>
      <c r="C35" s="8" t="s">
        <v>8</v>
      </c>
      <c r="D35" s="13">
        <v>0</v>
      </c>
      <c r="E35" s="13">
        <v>0</v>
      </c>
      <c r="F35" s="13">
        <v>1</v>
      </c>
      <c r="G35" s="13">
        <v>0</v>
      </c>
      <c r="H35" s="13">
        <v>2</v>
      </c>
      <c r="I35" s="13">
        <v>0</v>
      </c>
      <c r="J35" s="13">
        <v>3</v>
      </c>
      <c r="K35" s="13">
        <v>1</v>
      </c>
      <c r="L35" s="13">
        <v>0</v>
      </c>
      <c r="M35" s="13">
        <v>6</v>
      </c>
      <c r="N35" s="13">
        <v>0</v>
      </c>
      <c r="O35" s="13">
        <v>0</v>
      </c>
      <c r="P35" s="13">
        <v>0</v>
      </c>
      <c r="Q35" s="12">
        <f>SUM(D35:P35)</f>
        <v>13</v>
      </c>
    </row>
    <row r="36" spans="2:17" s="3" customFormat="1" ht="20.100000000000001" customHeight="1">
      <c r="B36" s="7"/>
      <c r="C36" s="8" t="s">
        <v>17</v>
      </c>
      <c r="D36" s="12">
        <f>D35-D34</f>
        <v>0</v>
      </c>
      <c r="E36" s="12">
        <f t="shared" ref="E36" si="8">E35-E34</f>
        <v>0</v>
      </c>
      <c r="F36" s="12">
        <f t="shared" ref="F36" si="9">F35-F34</f>
        <v>-10</v>
      </c>
      <c r="G36" s="12">
        <f t="shared" ref="G36" si="10">G35-G34</f>
        <v>0</v>
      </c>
      <c r="H36" s="12">
        <f t="shared" ref="H36" si="11">H35-H34</f>
        <v>-20</v>
      </c>
      <c r="I36" s="12">
        <f t="shared" ref="I36" si="12">I35-I34</f>
        <v>0</v>
      </c>
      <c r="J36" s="12">
        <f t="shared" ref="J36" si="13">J35-J34</f>
        <v>0</v>
      </c>
      <c r="K36" s="12">
        <f t="shared" ref="K36" si="14">K35-K34</f>
        <v>-1</v>
      </c>
      <c r="L36" s="12">
        <f t="shared" ref="L36" si="15">L35-L34</f>
        <v>0</v>
      </c>
      <c r="M36" s="12">
        <f t="shared" ref="M36" si="16">M35-M34</f>
        <v>0</v>
      </c>
      <c r="N36" s="12">
        <f>N35-N34</f>
        <v>0</v>
      </c>
      <c r="O36" s="12">
        <f>O35-O34</f>
        <v>0</v>
      </c>
      <c r="P36" s="12">
        <f>P35-P34</f>
        <v>0</v>
      </c>
      <c r="Q36" s="12">
        <f>Q35-Q34</f>
        <v>-31</v>
      </c>
    </row>
    <row r="37" spans="2:17">
      <c r="B37" s="18"/>
      <c r="C37" s="18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8"/>
      <c r="Q37" s="18"/>
    </row>
    <row r="38" spans="2:17" ht="69">
      <c r="B38" s="7" t="s">
        <v>34</v>
      </c>
      <c r="C38" s="8" t="s">
        <v>21</v>
      </c>
      <c r="D38" s="9" t="s">
        <v>1</v>
      </c>
      <c r="E38" s="9" t="s">
        <v>2</v>
      </c>
      <c r="F38" s="9" t="s">
        <v>0</v>
      </c>
      <c r="G38" s="9" t="s">
        <v>3</v>
      </c>
      <c r="H38" s="10" t="s">
        <v>4</v>
      </c>
      <c r="I38" s="9" t="s">
        <v>5</v>
      </c>
      <c r="J38" s="9" t="s">
        <v>24</v>
      </c>
      <c r="K38" s="11" t="s">
        <v>9</v>
      </c>
      <c r="L38" s="9" t="s">
        <v>19</v>
      </c>
      <c r="M38" s="12" t="s">
        <v>15</v>
      </c>
      <c r="N38" s="9" t="s">
        <v>18</v>
      </c>
      <c r="O38" s="10" t="s">
        <v>14</v>
      </c>
      <c r="P38" s="10" t="s">
        <v>12</v>
      </c>
      <c r="Q38" s="10" t="s">
        <v>20</v>
      </c>
    </row>
    <row r="39" spans="2:17" ht="20.100000000000001" customHeight="1">
      <c r="B39" s="7"/>
      <c r="C39" s="8" t="s">
        <v>7</v>
      </c>
      <c r="D39" s="13">
        <v>0</v>
      </c>
      <c r="E39" s="13">
        <v>0</v>
      </c>
      <c r="F39" s="13">
        <v>3</v>
      </c>
      <c r="G39" s="13">
        <v>0</v>
      </c>
      <c r="H39" s="13">
        <v>2</v>
      </c>
      <c r="I39" s="13">
        <v>0</v>
      </c>
      <c r="J39" s="13">
        <v>13</v>
      </c>
      <c r="K39" s="13">
        <v>3</v>
      </c>
      <c r="L39" s="13">
        <v>0</v>
      </c>
      <c r="M39" s="13">
        <v>6</v>
      </c>
      <c r="N39" s="13">
        <v>0</v>
      </c>
      <c r="O39" s="13">
        <v>0</v>
      </c>
      <c r="P39" s="13">
        <v>0</v>
      </c>
      <c r="Q39" s="12">
        <f>SUM(D39:P39)</f>
        <v>27</v>
      </c>
    </row>
    <row r="40" spans="2:17" ht="20.100000000000001" customHeight="1">
      <c r="B40" s="7"/>
      <c r="C40" s="8" t="s">
        <v>8</v>
      </c>
      <c r="D40" s="13">
        <v>0</v>
      </c>
      <c r="E40" s="13">
        <v>0</v>
      </c>
      <c r="F40" s="13">
        <v>1</v>
      </c>
      <c r="G40" s="13">
        <v>0</v>
      </c>
      <c r="H40" s="13">
        <v>0</v>
      </c>
      <c r="I40" s="13">
        <v>0</v>
      </c>
      <c r="J40" s="13">
        <v>13</v>
      </c>
      <c r="K40" s="13">
        <v>3</v>
      </c>
      <c r="L40" s="13">
        <v>0</v>
      </c>
      <c r="M40" s="13">
        <v>6</v>
      </c>
      <c r="N40" s="13">
        <v>0</v>
      </c>
      <c r="O40" s="13">
        <v>0</v>
      </c>
      <c r="P40" s="13">
        <v>0</v>
      </c>
      <c r="Q40" s="12">
        <f>SUM(D40:P40)</f>
        <v>23</v>
      </c>
    </row>
    <row r="41" spans="2:17" s="3" customFormat="1" ht="20.100000000000001" customHeight="1">
      <c r="B41" s="7"/>
      <c r="C41" s="8" t="s">
        <v>17</v>
      </c>
      <c r="D41" s="12">
        <f>D40-D39</f>
        <v>0</v>
      </c>
      <c r="E41" s="12">
        <f t="shared" ref="E41" si="17">E40-E39</f>
        <v>0</v>
      </c>
      <c r="F41" s="12">
        <f t="shared" ref="F41" si="18">F40-F39</f>
        <v>-2</v>
      </c>
      <c r="G41" s="12">
        <f t="shared" ref="G41" si="19">G40-G39</f>
        <v>0</v>
      </c>
      <c r="H41" s="12">
        <f t="shared" ref="H41" si="20">H40-H39</f>
        <v>-2</v>
      </c>
      <c r="I41" s="12">
        <f t="shared" ref="I41" si="21">I40-I39</f>
        <v>0</v>
      </c>
      <c r="J41" s="12">
        <f t="shared" ref="J41" si="22">J40-J39</f>
        <v>0</v>
      </c>
      <c r="K41" s="12">
        <f t="shared" ref="K41" si="23">K40-K39</f>
        <v>0</v>
      </c>
      <c r="L41" s="12">
        <f t="shared" ref="L41" si="24">L40-L39</f>
        <v>0</v>
      </c>
      <c r="M41" s="12">
        <f t="shared" ref="M41" si="25">M40-M39</f>
        <v>0</v>
      </c>
      <c r="N41" s="12">
        <f>N40-N39</f>
        <v>0</v>
      </c>
      <c r="O41" s="12">
        <f>O40-O39</f>
        <v>0</v>
      </c>
      <c r="P41" s="12">
        <f>P40-P39</f>
        <v>0</v>
      </c>
      <c r="Q41" s="12">
        <f>Q40-Q39</f>
        <v>-4</v>
      </c>
    </row>
    <row r="42" spans="2:17">
      <c r="B42" s="18"/>
      <c r="C42" s="18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8"/>
      <c r="Q42" s="18"/>
    </row>
    <row r="43" spans="2:17" ht="69">
      <c r="B43" s="7" t="s">
        <v>13</v>
      </c>
      <c r="C43" s="8" t="s">
        <v>21</v>
      </c>
      <c r="D43" s="9" t="s">
        <v>1</v>
      </c>
      <c r="E43" s="9" t="s">
        <v>2</v>
      </c>
      <c r="F43" s="9" t="s">
        <v>0</v>
      </c>
      <c r="G43" s="9" t="s">
        <v>3</v>
      </c>
      <c r="H43" s="10" t="s">
        <v>4</v>
      </c>
      <c r="I43" s="9" t="s">
        <v>5</v>
      </c>
      <c r="J43" s="9" t="s">
        <v>24</v>
      </c>
      <c r="K43" s="11" t="s">
        <v>9</v>
      </c>
      <c r="L43" s="9" t="s">
        <v>19</v>
      </c>
      <c r="M43" s="12" t="s">
        <v>15</v>
      </c>
      <c r="N43" s="9" t="s">
        <v>18</v>
      </c>
      <c r="O43" s="10" t="s">
        <v>14</v>
      </c>
      <c r="P43" s="10" t="s">
        <v>12</v>
      </c>
      <c r="Q43" s="10" t="s">
        <v>20</v>
      </c>
    </row>
    <row r="44" spans="2:17" ht="20.100000000000001" customHeight="1">
      <c r="B44" s="7"/>
      <c r="C44" s="8" t="s">
        <v>7</v>
      </c>
      <c r="D44" s="13">
        <v>0</v>
      </c>
      <c r="E44" s="13">
        <v>0</v>
      </c>
      <c r="F44" s="13">
        <v>0</v>
      </c>
      <c r="G44" s="13">
        <v>0</v>
      </c>
      <c r="H44" s="13">
        <v>10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2">
        <f>SUM(D44:P44)</f>
        <v>10</v>
      </c>
    </row>
    <row r="45" spans="2:17" ht="20.100000000000001" customHeight="1">
      <c r="B45" s="7"/>
      <c r="C45" s="8" t="s">
        <v>8</v>
      </c>
      <c r="D45" s="13">
        <v>0</v>
      </c>
      <c r="E45" s="13">
        <v>0</v>
      </c>
      <c r="F45" s="13">
        <v>0</v>
      </c>
      <c r="G45" s="13">
        <v>0</v>
      </c>
      <c r="H45" s="13">
        <v>10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2">
        <f>SUM(D45:P45)</f>
        <v>10</v>
      </c>
    </row>
    <row r="46" spans="2:17" s="3" customFormat="1" ht="20.100000000000001" customHeight="1">
      <c r="B46" s="7"/>
      <c r="C46" s="8" t="s">
        <v>17</v>
      </c>
      <c r="D46" s="12">
        <f>D45-D44</f>
        <v>0</v>
      </c>
      <c r="E46" s="12">
        <f t="shared" ref="E46" si="26">E45-E44</f>
        <v>0</v>
      </c>
      <c r="F46" s="12">
        <f t="shared" ref="F46" si="27">F45-F44</f>
        <v>0</v>
      </c>
      <c r="G46" s="12">
        <f t="shared" ref="G46" si="28">G45-G44</f>
        <v>0</v>
      </c>
      <c r="H46" s="12">
        <f t="shared" ref="H46" si="29">H45-H44</f>
        <v>0</v>
      </c>
      <c r="I46" s="12">
        <f t="shared" ref="I46" si="30">I45-I44</f>
        <v>0</v>
      </c>
      <c r="J46" s="12">
        <f t="shared" ref="J46" si="31">J45-J44</f>
        <v>0</v>
      </c>
      <c r="K46" s="12">
        <f t="shared" ref="K46" si="32">K45-K44</f>
        <v>0</v>
      </c>
      <c r="L46" s="12">
        <f t="shared" ref="L46" si="33">L45-L44</f>
        <v>0</v>
      </c>
      <c r="M46" s="12">
        <f t="shared" ref="M46" si="34">M45-M44</f>
        <v>0</v>
      </c>
      <c r="N46" s="12">
        <f>N45-N44</f>
        <v>0</v>
      </c>
      <c r="O46" s="12">
        <f>O45-O44</f>
        <v>0</v>
      </c>
      <c r="P46" s="12">
        <f>P45-P44</f>
        <v>0</v>
      </c>
      <c r="Q46" s="12">
        <f>Q45-Q44</f>
        <v>0</v>
      </c>
    </row>
  </sheetData>
  <mergeCells count="10">
    <mergeCell ref="B28:B31"/>
    <mergeCell ref="B33:B36"/>
    <mergeCell ref="B38:B41"/>
    <mergeCell ref="B43:B46"/>
    <mergeCell ref="B2:Q2"/>
    <mergeCell ref="B3:B6"/>
    <mergeCell ref="B8:B11"/>
    <mergeCell ref="B13:B16"/>
    <mergeCell ref="B18:B21"/>
    <mergeCell ref="B23:B2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A8B2-E9EB-4E24-B789-D61BF4B0AFDC}">
  <sheetPr>
    <tabColor rgb="FFFFC000"/>
  </sheetPr>
  <dimension ref="B1:Q31"/>
  <sheetViews>
    <sheetView showGridLines="0" zoomScale="60" zoomScaleNormal="60" workbookViewId="0">
      <selection activeCell="B1" sqref="B1:Q31"/>
    </sheetView>
  </sheetViews>
  <sheetFormatPr defaultColWidth="8.6640625" defaultRowHeight="14.4"/>
  <cols>
    <col min="1" max="1" width="5.109375" style="2" customWidth="1"/>
    <col min="2" max="2" width="11.5546875" style="2" customWidth="1"/>
    <col min="3" max="3" width="8.6640625" style="2"/>
    <col min="4" max="15" width="8.6640625" style="1"/>
    <col min="16" max="16" width="8.6640625" style="2"/>
    <col min="17" max="17" width="9.6640625" style="2" bestFit="1" customWidth="1"/>
    <col min="18" max="16384" width="8.6640625" style="2"/>
  </cols>
  <sheetData>
    <row r="1" spans="2:17">
      <c r="B1" s="18"/>
      <c r="C1" s="18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8"/>
      <c r="Q1" s="18"/>
    </row>
    <row r="2" spans="2:17" ht="20.100000000000001" customHeight="1">
      <c r="B2" s="4" t="s">
        <v>42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2:17" ht="69">
      <c r="B3" s="7" t="s">
        <v>25</v>
      </c>
      <c r="C3" s="8" t="s">
        <v>21</v>
      </c>
      <c r="D3" s="9" t="s">
        <v>1</v>
      </c>
      <c r="E3" s="9" t="s">
        <v>2</v>
      </c>
      <c r="F3" s="9" t="s">
        <v>0</v>
      </c>
      <c r="G3" s="9" t="s">
        <v>3</v>
      </c>
      <c r="H3" s="10" t="s">
        <v>4</v>
      </c>
      <c r="I3" s="9" t="s">
        <v>5</v>
      </c>
      <c r="J3" s="9" t="s">
        <v>24</v>
      </c>
      <c r="K3" s="11" t="s">
        <v>9</v>
      </c>
      <c r="L3" s="9" t="s">
        <v>19</v>
      </c>
      <c r="M3" s="12" t="s">
        <v>15</v>
      </c>
      <c r="N3" s="9" t="s">
        <v>18</v>
      </c>
      <c r="O3" s="10" t="s">
        <v>14</v>
      </c>
      <c r="P3" s="10" t="s">
        <v>12</v>
      </c>
      <c r="Q3" s="10" t="s">
        <v>20</v>
      </c>
    </row>
    <row r="4" spans="2:17" ht="20.100000000000001" customHeight="1">
      <c r="B4" s="7"/>
      <c r="C4" s="8" t="s">
        <v>7</v>
      </c>
      <c r="D4" s="13">
        <f>D9+D14+D19+D24+D29</f>
        <v>0</v>
      </c>
      <c r="E4" s="13">
        <f t="shared" ref="E4:P5" si="0">E9+E14+E19+E24+E29</f>
        <v>0</v>
      </c>
      <c r="F4" s="13">
        <f t="shared" si="0"/>
        <v>0</v>
      </c>
      <c r="G4" s="13">
        <f t="shared" si="0"/>
        <v>0</v>
      </c>
      <c r="H4" s="13">
        <v>12</v>
      </c>
      <c r="I4" s="13">
        <f t="shared" si="0"/>
        <v>0</v>
      </c>
      <c r="J4" s="13">
        <v>31</v>
      </c>
      <c r="K4" s="13">
        <v>9</v>
      </c>
      <c r="L4" s="13">
        <f t="shared" si="0"/>
        <v>4</v>
      </c>
      <c r="M4" s="13">
        <f t="shared" si="0"/>
        <v>16</v>
      </c>
      <c r="N4" s="13">
        <f t="shared" si="0"/>
        <v>0</v>
      </c>
      <c r="O4" s="13">
        <f t="shared" si="0"/>
        <v>0</v>
      </c>
      <c r="P4" s="13">
        <f t="shared" si="0"/>
        <v>0</v>
      </c>
      <c r="Q4" s="12">
        <f>SUM(D4:P4)</f>
        <v>72</v>
      </c>
    </row>
    <row r="5" spans="2:17" ht="20.100000000000001" customHeight="1">
      <c r="B5" s="7"/>
      <c r="C5" s="8" t="s">
        <v>8</v>
      </c>
      <c r="D5" s="13">
        <f>D10+D15+D20+D25+D30</f>
        <v>0</v>
      </c>
      <c r="E5" s="13">
        <f t="shared" si="0"/>
        <v>0</v>
      </c>
      <c r="F5" s="13">
        <f t="shared" si="0"/>
        <v>0</v>
      </c>
      <c r="G5" s="13">
        <f t="shared" si="0"/>
        <v>0</v>
      </c>
      <c r="H5" s="13">
        <v>12</v>
      </c>
      <c r="I5" s="13">
        <f t="shared" si="0"/>
        <v>0</v>
      </c>
      <c r="J5" s="13">
        <v>33</v>
      </c>
      <c r="K5" s="13">
        <f t="shared" si="0"/>
        <v>8</v>
      </c>
      <c r="L5" s="13">
        <v>1</v>
      </c>
      <c r="M5" s="13">
        <f t="shared" si="0"/>
        <v>15</v>
      </c>
      <c r="N5" s="13">
        <f t="shared" si="0"/>
        <v>0</v>
      </c>
      <c r="O5" s="13">
        <f t="shared" si="0"/>
        <v>0</v>
      </c>
      <c r="P5" s="13">
        <f t="shared" si="0"/>
        <v>0</v>
      </c>
      <c r="Q5" s="12">
        <f>SUM(D5:P5)</f>
        <v>69</v>
      </c>
    </row>
    <row r="6" spans="2:17" s="3" customFormat="1" ht="20.100000000000001" customHeight="1">
      <c r="B6" s="7"/>
      <c r="C6" s="8" t="s">
        <v>17</v>
      </c>
      <c r="D6" s="12">
        <f>D4-D5</f>
        <v>0</v>
      </c>
      <c r="E6" s="12">
        <f t="shared" ref="E6:P6" si="1">E4-E5</f>
        <v>0</v>
      </c>
      <c r="F6" s="12">
        <f t="shared" si="1"/>
        <v>0</v>
      </c>
      <c r="G6" s="12">
        <f t="shared" si="1"/>
        <v>0</v>
      </c>
      <c r="H6" s="12">
        <f t="shared" si="1"/>
        <v>0</v>
      </c>
      <c r="I6" s="12">
        <f t="shared" si="1"/>
        <v>0</v>
      </c>
      <c r="J6" s="12">
        <f t="shared" si="1"/>
        <v>-2</v>
      </c>
      <c r="K6" s="12">
        <f t="shared" si="1"/>
        <v>1</v>
      </c>
      <c r="L6" s="12">
        <f t="shared" si="1"/>
        <v>3</v>
      </c>
      <c r="M6" s="12">
        <f t="shared" si="1"/>
        <v>1</v>
      </c>
      <c r="N6" s="12">
        <f t="shared" si="1"/>
        <v>0</v>
      </c>
      <c r="O6" s="12">
        <f t="shared" si="1"/>
        <v>0</v>
      </c>
      <c r="P6" s="12">
        <f t="shared" si="1"/>
        <v>0</v>
      </c>
      <c r="Q6" s="12">
        <f>Q4-Q5</f>
        <v>3</v>
      </c>
    </row>
    <row r="7" spans="2:17" s="3" customFormat="1" ht="20.100000000000001" customHeight="1">
      <c r="B7" s="14"/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2:17" ht="69">
      <c r="B8" s="7" t="s">
        <v>22</v>
      </c>
      <c r="C8" s="8" t="s">
        <v>21</v>
      </c>
      <c r="D8" s="9" t="s">
        <v>1</v>
      </c>
      <c r="E8" s="9" t="s">
        <v>2</v>
      </c>
      <c r="F8" s="9" t="s">
        <v>0</v>
      </c>
      <c r="G8" s="9" t="s">
        <v>3</v>
      </c>
      <c r="H8" s="10" t="s">
        <v>4</v>
      </c>
      <c r="I8" s="9" t="s">
        <v>5</v>
      </c>
      <c r="J8" s="9" t="s">
        <v>24</v>
      </c>
      <c r="K8" s="11" t="s">
        <v>9</v>
      </c>
      <c r="L8" s="9" t="s">
        <v>19</v>
      </c>
      <c r="M8" s="12" t="s">
        <v>15</v>
      </c>
      <c r="N8" s="9" t="s">
        <v>18</v>
      </c>
      <c r="O8" s="10" t="s">
        <v>14</v>
      </c>
      <c r="P8" s="10" t="s">
        <v>12</v>
      </c>
      <c r="Q8" s="10" t="s">
        <v>20</v>
      </c>
    </row>
    <row r="9" spans="2:17" ht="20.100000000000001" customHeight="1">
      <c r="B9" s="7"/>
      <c r="C9" s="8" t="s">
        <v>7</v>
      </c>
      <c r="D9" s="13">
        <v>0</v>
      </c>
      <c r="E9" s="13">
        <v>0</v>
      </c>
      <c r="F9" s="13">
        <v>0</v>
      </c>
      <c r="G9" s="13">
        <v>0</v>
      </c>
      <c r="H9" s="13">
        <v>10</v>
      </c>
      <c r="I9" s="13">
        <v>0</v>
      </c>
      <c r="J9" s="13">
        <v>6</v>
      </c>
      <c r="K9" s="13">
        <v>6</v>
      </c>
      <c r="L9" s="13">
        <v>3</v>
      </c>
      <c r="M9" s="13">
        <v>6</v>
      </c>
      <c r="N9" s="13">
        <v>0</v>
      </c>
      <c r="O9" s="13">
        <v>0</v>
      </c>
      <c r="P9" s="13">
        <v>0</v>
      </c>
      <c r="Q9" s="12">
        <f>SUM(D9:P9)</f>
        <v>31</v>
      </c>
    </row>
    <row r="10" spans="2:17" ht="20.100000000000001" customHeight="1">
      <c r="B10" s="7"/>
      <c r="C10" s="8" t="s">
        <v>8</v>
      </c>
      <c r="D10" s="13">
        <v>0</v>
      </c>
      <c r="E10" s="13">
        <v>0</v>
      </c>
      <c r="F10" s="13">
        <v>0</v>
      </c>
      <c r="G10" s="13">
        <v>0</v>
      </c>
      <c r="H10" s="13">
        <v>9</v>
      </c>
      <c r="I10" s="13">
        <v>0</v>
      </c>
      <c r="J10" s="13">
        <v>8</v>
      </c>
      <c r="K10" s="20">
        <v>6</v>
      </c>
      <c r="L10" s="13">
        <v>1</v>
      </c>
      <c r="M10" s="13">
        <v>6</v>
      </c>
      <c r="N10" s="13">
        <v>0</v>
      </c>
      <c r="O10" s="13">
        <v>0</v>
      </c>
      <c r="P10" s="13">
        <v>0</v>
      </c>
      <c r="Q10" s="12">
        <f>SUM(D10:P10)</f>
        <v>30</v>
      </c>
    </row>
    <row r="11" spans="2:17" s="3" customFormat="1" ht="20.100000000000001" customHeight="1">
      <c r="B11" s="7"/>
      <c r="C11" s="8" t="s">
        <v>17</v>
      </c>
      <c r="D11" s="12">
        <f>D10-D9</f>
        <v>0</v>
      </c>
      <c r="E11" s="12">
        <f t="shared" ref="E11:M11" si="2">E10-E9</f>
        <v>0</v>
      </c>
      <c r="F11" s="12">
        <f t="shared" si="2"/>
        <v>0</v>
      </c>
      <c r="G11" s="12">
        <f t="shared" si="2"/>
        <v>0</v>
      </c>
      <c r="H11" s="12">
        <f t="shared" si="2"/>
        <v>-1</v>
      </c>
      <c r="I11" s="12">
        <f t="shared" si="2"/>
        <v>0</v>
      </c>
      <c r="J11" s="12">
        <f t="shared" si="2"/>
        <v>2</v>
      </c>
      <c r="K11" s="12">
        <f t="shared" si="2"/>
        <v>0</v>
      </c>
      <c r="L11" s="12">
        <f t="shared" si="2"/>
        <v>-2</v>
      </c>
      <c r="M11" s="12">
        <f t="shared" si="2"/>
        <v>0</v>
      </c>
      <c r="N11" s="12">
        <f>N10-N9</f>
        <v>0</v>
      </c>
      <c r="O11" s="12">
        <f>O10-O9</f>
        <v>0</v>
      </c>
      <c r="P11" s="12">
        <f>P10-P9</f>
        <v>0</v>
      </c>
      <c r="Q11" s="12">
        <f>Q10-Q9</f>
        <v>-1</v>
      </c>
    </row>
    <row r="12" spans="2:17">
      <c r="B12" s="18"/>
      <c r="C12" s="18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8"/>
      <c r="Q12" s="18"/>
    </row>
    <row r="13" spans="2:17" ht="69">
      <c r="B13" s="7" t="s">
        <v>6</v>
      </c>
      <c r="C13" s="8" t="s">
        <v>21</v>
      </c>
      <c r="D13" s="9" t="s">
        <v>1</v>
      </c>
      <c r="E13" s="9" t="s">
        <v>2</v>
      </c>
      <c r="F13" s="9" t="s">
        <v>0</v>
      </c>
      <c r="G13" s="9" t="s">
        <v>3</v>
      </c>
      <c r="H13" s="10" t="s">
        <v>4</v>
      </c>
      <c r="I13" s="9" t="s">
        <v>5</v>
      </c>
      <c r="J13" s="9" t="s">
        <v>24</v>
      </c>
      <c r="K13" s="11" t="s">
        <v>9</v>
      </c>
      <c r="L13" s="9" t="s">
        <v>19</v>
      </c>
      <c r="M13" s="12" t="s">
        <v>15</v>
      </c>
      <c r="N13" s="9" t="s">
        <v>18</v>
      </c>
      <c r="O13" s="10" t="s">
        <v>14</v>
      </c>
      <c r="P13" s="10" t="s">
        <v>12</v>
      </c>
      <c r="Q13" s="10" t="s">
        <v>20</v>
      </c>
    </row>
    <row r="14" spans="2:17" ht="20.100000000000001" customHeight="1">
      <c r="B14" s="7"/>
      <c r="C14" s="8" t="s">
        <v>7</v>
      </c>
      <c r="D14" s="13">
        <v>0</v>
      </c>
      <c r="E14" s="13">
        <v>0</v>
      </c>
      <c r="F14" s="13">
        <v>0</v>
      </c>
      <c r="G14" s="13">
        <v>0</v>
      </c>
      <c r="H14" s="13">
        <v>5</v>
      </c>
      <c r="I14" s="13">
        <v>0</v>
      </c>
      <c r="J14" s="13">
        <v>1</v>
      </c>
      <c r="K14" s="13">
        <v>0</v>
      </c>
      <c r="L14" s="13">
        <v>1</v>
      </c>
      <c r="M14" s="13">
        <v>0</v>
      </c>
      <c r="N14" s="13">
        <v>0</v>
      </c>
      <c r="O14" s="13">
        <v>0</v>
      </c>
      <c r="P14" s="13">
        <v>0</v>
      </c>
      <c r="Q14" s="12">
        <f>SUM(D14:P14)</f>
        <v>7</v>
      </c>
    </row>
    <row r="15" spans="2:17" ht="20.100000000000001" customHeight="1">
      <c r="B15" s="7"/>
      <c r="C15" s="8" t="s">
        <v>8</v>
      </c>
      <c r="D15" s="13">
        <v>0</v>
      </c>
      <c r="E15" s="13">
        <v>0</v>
      </c>
      <c r="F15" s="13">
        <v>0</v>
      </c>
      <c r="G15" s="13">
        <v>0</v>
      </c>
      <c r="H15" s="13">
        <v>5</v>
      </c>
      <c r="I15" s="13">
        <v>0</v>
      </c>
      <c r="J15" s="13">
        <v>1</v>
      </c>
      <c r="K15" s="13">
        <v>0</v>
      </c>
      <c r="L15" s="13">
        <v>1</v>
      </c>
      <c r="M15" s="13">
        <v>0</v>
      </c>
      <c r="N15" s="13">
        <v>0</v>
      </c>
      <c r="O15" s="13">
        <v>0</v>
      </c>
      <c r="P15" s="13">
        <v>0</v>
      </c>
      <c r="Q15" s="12">
        <f>SUM(D15:P15)</f>
        <v>7</v>
      </c>
    </row>
    <row r="16" spans="2:17" s="3" customFormat="1" ht="20.100000000000001" customHeight="1">
      <c r="B16" s="7"/>
      <c r="C16" s="8" t="s">
        <v>17</v>
      </c>
      <c r="D16" s="12">
        <f>D15-D14</f>
        <v>0</v>
      </c>
      <c r="E16" s="12">
        <f t="shared" ref="E16" si="3">E15-E14</f>
        <v>0</v>
      </c>
      <c r="F16" s="12">
        <f t="shared" ref="F16" si="4">F15-F14</f>
        <v>0</v>
      </c>
      <c r="G16" s="12">
        <f t="shared" ref="G16" si="5">G15-G14</f>
        <v>0</v>
      </c>
      <c r="H16" s="12">
        <f t="shared" ref="H16" si="6">H15-H14</f>
        <v>0</v>
      </c>
      <c r="I16" s="12">
        <f t="shared" ref="I16" si="7">I15-I14</f>
        <v>0</v>
      </c>
      <c r="J16" s="12">
        <f t="shared" ref="J16" si="8">J15-J14</f>
        <v>0</v>
      </c>
      <c r="K16" s="12">
        <f t="shared" ref="K16" si="9">K15-K14</f>
        <v>0</v>
      </c>
      <c r="L16" s="12">
        <f t="shared" ref="L16" si="10">L15-L14</f>
        <v>0</v>
      </c>
      <c r="M16" s="12">
        <f t="shared" ref="M16" si="11">M15-M14</f>
        <v>0</v>
      </c>
      <c r="N16" s="12">
        <f>N15-N14</f>
        <v>0</v>
      </c>
      <c r="O16" s="12">
        <f>O15-O14</f>
        <v>0</v>
      </c>
      <c r="P16" s="12">
        <f>P15-P14</f>
        <v>0</v>
      </c>
      <c r="Q16" s="12">
        <f>Q15-Q14</f>
        <v>0</v>
      </c>
    </row>
    <row r="17" spans="2:17">
      <c r="B17" s="18"/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8"/>
      <c r="Q17" s="18"/>
    </row>
    <row r="18" spans="2:17" ht="69">
      <c r="B18" s="7" t="s">
        <v>23</v>
      </c>
      <c r="C18" s="8" t="s">
        <v>21</v>
      </c>
      <c r="D18" s="9" t="s">
        <v>1</v>
      </c>
      <c r="E18" s="9" t="s">
        <v>2</v>
      </c>
      <c r="F18" s="9" t="s">
        <v>0</v>
      </c>
      <c r="G18" s="9" t="s">
        <v>3</v>
      </c>
      <c r="H18" s="10" t="s">
        <v>4</v>
      </c>
      <c r="I18" s="9" t="s">
        <v>5</v>
      </c>
      <c r="J18" s="9" t="s">
        <v>24</v>
      </c>
      <c r="K18" s="11" t="s">
        <v>9</v>
      </c>
      <c r="L18" s="9" t="s">
        <v>19</v>
      </c>
      <c r="M18" s="12" t="s">
        <v>15</v>
      </c>
      <c r="N18" s="9" t="s">
        <v>18</v>
      </c>
      <c r="O18" s="10" t="s">
        <v>14</v>
      </c>
      <c r="P18" s="10" t="s">
        <v>12</v>
      </c>
      <c r="Q18" s="10" t="s">
        <v>20</v>
      </c>
    </row>
    <row r="19" spans="2:17" ht="20.100000000000001" customHeight="1">
      <c r="B19" s="7"/>
      <c r="C19" s="8" t="s">
        <v>7</v>
      </c>
      <c r="D19" s="13">
        <v>0</v>
      </c>
      <c r="E19" s="13">
        <v>0</v>
      </c>
      <c r="F19" s="13">
        <v>0</v>
      </c>
      <c r="G19" s="13">
        <v>0</v>
      </c>
      <c r="H19" s="13">
        <v>6</v>
      </c>
      <c r="I19" s="13">
        <v>0</v>
      </c>
      <c r="J19" s="13">
        <v>4</v>
      </c>
      <c r="K19" s="13">
        <v>1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2">
        <f>SUM(D19:P19)</f>
        <v>11</v>
      </c>
    </row>
    <row r="20" spans="2:17" ht="20.100000000000001" customHeight="1">
      <c r="B20" s="7"/>
      <c r="C20" s="8" t="s">
        <v>8</v>
      </c>
      <c r="D20" s="13">
        <v>0</v>
      </c>
      <c r="E20" s="13">
        <v>0</v>
      </c>
      <c r="F20" s="13">
        <v>0</v>
      </c>
      <c r="G20" s="13">
        <v>0</v>
      </c>
      <c r="H20" s="13">
        <v>5</v>
      </c>
      <c r="I20" s="13">
        <v>0</v>
      </c>
      <c r="J20" s="13">
        <v>4</v>
      </c>
      <c r="K20" s="13">
        <v>1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2">
        <f>SUM(D20:P20)</f>
        <v>10</v>
      </c>
    </row>
    <row r="21" spans="2:17" s="3" customFormat="1" ht="20.100000000000001" customHeight="1">
      <c r="B21" s="7"/>
      <c r="C21" s="8" t="s">
        <v>17</v>
      </c>
      <c r="D21" s="12">
        <f>D20-D19</f>
        <v>0</v>
      </c>
      <c r="E21" s="12">
        <f t="shared" ref="E21" si="12">E20-E19</f>
        <v>0</v>
      </c>
      <c r="F21" s="12">
        <f t="shared" ref="F21" si="13">F20-F19</f>
        <v>0</v>
      </c>
      <c r="G21" s="12">
        <f t="shared" ref="G21" si="14">G20-G19</f>
        <v>0</v>
      </c>
      <c r="H21" s="12">
        <f t="shared" ref="H21" si="15">H20-H19</f>
        <v>-1</v>
      </c>
      <c r="I21" s="12">
        <f t="shared" ref="I21" si="16">I20-I19</f>
        <v>0</v>
      </c>
      <c r="J21" s="12">
        <f t="shared" ref="J21" si="17">J20-J19</f>
        <v>0</v>
      </c>
      <c r="K21" s="12">
        <f t="shared" ref="K21" si="18">K20-K19</f>
        <v>0</v>
      </c>
      <c r="L21" s="12">
        <f t="shared" ref="L21" si="19">L20-L19</f>
        <v>0</v>
      </c>
      <c r="M21" s="12">
        <f t="shared" ref="M21" si="20">M20-M19</f>
        <v>0</v>
      </c>
      <c r="N21" s="12">
        <f>N20-N19</f>
        <v>0</v>
      </c>
      <c r="O21" s="12">
        <f>O20-O19</f>
        <v>0</v>
      </c>
      <c r="P21" s="12">
        <f>P20-P19</f>
        <v>0</v>
      </c>
      <c r="Q21" s="12">
        <f>Q20-Q19</f>
        <v>-1</v>
      </c>
    </row>
    <row r="22" spans="2:17">
      <c r="B22" s="18"/>
      <c r="C22" s="18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8"/>
      <c r="Q22" s="18"/>
    </row>
    <row r="23" spans="2:17" ht="69">
      <c r="B23" s="7" t="s">
        <v>26</v>
      </c>
      <c r="C23" s="8" t="s">
        <v>21</v>
      </c>
      <c r="D23" s="9" t="s">
        <v>1</v>
      </c>
      <c r="E23" s="9" t="s">
        <v>2</v>
      </c>
      <c r="F23" s="9" t="s">
        <v>0</v>
      </c>
      <c r="G23" s="9" t="s">
        <v>3</v>
      </c>
      <c r="H23" s="10" t="s">
        <v>4</v>
      </c>
      <c r="I23" s="9" t="s">
        <v>5</v>
      </c>
      <c r="J23" s="9" t="s">
        <v>24</v>
      </c>
      <c r="K23" s="11" t="s">
        <v>9</v>
      </c>
      <c r="L23" s="9" t="s">
        <v>19</v>
      </c>
      <c r="M23" s="12" t="s">
        <v>15</v>
      </c>
      <c r="N23" s="9" t="s">
        <v>18</v>
      </c>
      <c r="O23" s="10" t="s">
        <v>14</v>
      </c>
      <c r="P23" s="10" t="s">
        <v>12</v>
      </c>
      <c r="Q23" s="10" t="s">
        <v>20</v>
      </c>
    </row>
    <row r="24" spans="2:17" ht="20.100000000000001" customHeight="1">
      <c r="B24" s="7"/>
      <c r="C24" s="8" t="s">
        <v>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8</v>
      </c>
      <c r="K24" s="13">
        <v>4</v>
      </c>
      <c r="L24" s="13">
        <v>0</v>
      </c>
      <c r="M24" s="13">
        <v>9</v>
      </c>
      <c r="N24" s="13">
        <v>0</v>
      </c>
      <c r="O24" s="13">
        <v>0</v>
      </c>
      <c r="P24" s="13">
        <v>0</v>
      </c>
      <c r="Q24" s="12">
        <f>SUM(D24:P24)</f>
        <v>21</v>
      </c>
    </row>
    <row r="25" spans="2:17" ht="20.100000000000001" customHeight="1">
      <c r="B25" s="7"/>
      <c r="C25" s="8" t="s">
        <v>8</v>
      </c>
      <c r="D25" s="13">
        <v>0</v>
      </c>
      <c r="E25" s="13">
        <v>0</v>
      </c>
      <c r="F25" s="13">
        <v>0</v>
      </c>
      <c r="G25" s="13">
        <v>0</v>
      </c>
      <c r="H25" s="13">
        <v>2</v>
      </c>
      <c r="I25" s="13">
        <v>0</v>
      </c>
      <c r="J25" s="13">
        <v>8</v>
      </c>
      <c r="K25" s="13">
        <v>1</v>
      </c>
      <c r="L25" s="13">
        <v>0</v>
      </c>
      <c r="M25" s="13">
        <v>8</v>
      </c>
      <c r="N25" s="13">
        <v>0</v>
      </c>
      <c r="O25" s="13">
        <v>0</v>
      </c>
      <c r="P25" s="13">
        <v>0</v>
      </c>
      <c r="Q25" s="12">
        <f>SUM(D25:P25)</f>
        <v>19</v>
      </c>
    </row>
    <row r="26" spans="2:17" s="3" customFormat="1" ht="20.100000000000001" customHeight="1">
      <c r="B26" s="7"/>
      <c r="C26" s="8" t="s">
        <v>17</v>
      </c>
      <c r="D26" s="12">
        <f>D24-D25</f>
        <v>0</v>
      </c>
      <c r="E26" s="12">
        <f t="shared" ref="E26:P26" si="21">E24-E25</f>
        <v>0</v>
      </c>
      <c r="F26" s="12">
        <f t="shared" si="21"/>
        <v>0</v>
      </c>
      <c r="G26" s="12">
        <f t="shared" si="21"/>
        <v>0</v>
      </c>
      <c r="H26" s="12">
        <f t="shared" si="21"/>
        <v>-2</v>
      </c>
      <c r="I26" s="12">
        <f t="shared" si="21"/>
        <v>0</v>
      </c>
      <c r="J26" s="12">
        <f t="shared" si="21"/>
        <v>0</v>
      </c>
      <c r="K26" s="12">
        <f t="shared" si="21"/>
        <v>3</v>
      </c>
      <c r="L26" s="12">
        <f t="shared" si="21"/>
        <v>0</v>
      </c>
      <c r="M26" s="12">
        <f t="shared" si="21"/>
        <v>1</v>
      </c>
      <c r="N26" s="12">
        <f t="shared" si="21"/>
        <v>0</v>
      </c>
      <c r="O26" s="12">
        <f t="shared" si="21"/>
        <v>0</v>
      </c>
      <c r="P26" s="12">
        <f t="shared" si="21"/>
        <v>0</v>
      </c>
      <c r="Q26" s="12">
        <f>Q25-Q24</f>
        <v>-2</v>
      </c>
    </row>
    <row r="27" spans="2:17">
      <c r="B27" s="18"/>
      <c r="C27" s="18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8"/>
      <c r="Q27" s="18"/>
    </row>
    <row r="28" spans="2:17" ht="69">
      <c r="B28" s="7" t="s">
        <v>13</v>
      </c>
      <c r="C28" s="8" t="s">
        <v>21</v>
      </c>
      <c r="D28" s="9" t="s">
        <v>1</v>
      </c>
      <c r="E28" s="9" t="s">
        <v>2</v>
      </c>
      <c r="F28" s="9" t="s">
        <v>0</v>
      </c>
      <c r="G28" s="9" t="s">
        <v>3</v>
      </c>
      <c r="H28" s="10" t="s">
        <v>4</v>
      </c>
      <c r="I28" s="9" t="s">
        <v>5</v>
      </c>
      <c r="J28" s="9" t="s">
        <v>24</v>
      </c>
      <c r="K28" s="11" t="s">
        <v>9</v>
      </c>
      <c r="L28" s="9" t="s">
        <v>19</v>
      </c>
      <c r="M28" s="12" t="s">
        <v>15</v>
      </c>
      <c r="N28" s="9" t="s">
        <v>18</v>
      </c>
      <c r="O28" s="10" t="s">
        <v>14</v>
      </c>
      <c r="P28" s="10" t="s">
        <v>12</v>
      </c>
      <c r="Q28" s="10" t="s">
        <v>20</v>
      </c>
    </row>
    <row r="29" spans="2:17" ht="20.100000000000001" customHeight="1">
      <c r="B29" s="7"/>
      <c r="C29" s="8" t="s">
        <v>7</v>
      </c>
      <c r="D29" s="13">
        <v>0</v>
      </c>
      <c r="E29" s="13">
        <v>0</v>
      </c>
      <c r="F29" s="13">
        <v>0</v>
      </c>
      <c r="G29" s="13">
        <v>0</v>
      </c>
      <c r="H29" s="13">
        <v>4</v>
      </c>
      <c r="I29" s="13">
        <v>0</v>
      </c>
      <c r="J29" s="13">
        <v>0</v>
      </c>
      <c r="K29" s="13">
        <v>0</v>
      </c>
      <c r="L29" s="13">
        <v>0</v>
      </c>
      <c r="M29" s="13">
        <v>1</v>
      </c>
      <c r="N29" s="13">
        <v>0</v>
      </c>
      <c r="O29" s="13">
        <v>0</v>
      </c>
      <c r="P29" s="13">
        <v>0</v>
      </c>
      <c r="Q29" s="12">
        <f>SUM(D29:P29)</f>
        <v>5</v>
      </c>
    </row>
    <row r="30" spans="2:17" ht="20.100000000000001" customHeight="1">
      <c r="B30" s="7"/>
      <c r="C30" s="8" t="s">
        <v>8</v>
      </c>
      <c r="D30" s="13">
        <v>0</v>
      </c>
      <c r="E30" s="13">
        <v>0</v>
      </c>
      <c r="F30" s="13">
        <v>0</v>
      </c>
      <c r="G30" s="13">
        <v>0</v>
      </c>
      <c r="H30" s="13">
        <v>3</v>
      </c>
      <c r="I30" s="13">
        <v>0</v>
      </c>
      <c r="J30" s="13">
        <v>0</v>
      </c>
      <c r="K30" s="13">
        <v>0</v>
      </c>
      <c r="L30" s="13">
        <v>0</v>
      </c>
      <c r="M30" s="13">
        <v>1</v>
      </c>
      <c r="N30" s="13">
        <v>0</v>
      </c>
      <c r="O30" s="13">
        <v>0</v>
      </c>
      <c r="P30" s="13">
        <v>0</v>
      </c>
      <c r="Q30" s="12">
        <f>SUM(D30:P30)</f>
        <v>4</v>
      </c>
    </row>
    <row r="31" spans="2:17" s="3" customFormat="1" ht="20.100000000000001" customHeight="1">
      <c r="B31" s="7"/>
      <c r="C31" s="8" t="s">
        <v>17</v>
      </c>
      <c r="D31" s="12">
        <f>D30-D29</f>
        <v>0</v>
      </c>
      <c r="E31" s="12">
        <f t="shared" ref="E31" si="22">E30-E29</f>
        <v>0</v>
      </c>
      <c r="F31" s="12">
        <f t="shared" ref="F31" si="23">F30-F29</f>
        <v>0</v>
      </c>
      <c r="G31" s="12">
        <f t="shared" ref="G31" si="24">G30-G29</f>
        <v>0</v>
      </c>
      <c r="H31" s="12">
        <f t="shared" ref="H31" si="25">H30-H29</f>
        <v>-1</v>
      </c>
      <c r="I31" s="12">
        <f t="shared" ref="I31" si="26">I30-I29</f>
        <v>0</v>
      </c>
      <c r="J31" s="12">
        <f t="shared" ref="J31" si="27">J30-J29</f>
        <v>0</v>
      </c>
      <c r="K31" s="12">
        <f t="shared" ref="K31" si="28">K30-K29</f>
        <v>0</v>
      </c>
      <c r="L31" s="12">
        <f t="shared" ref="L31" si="29">L30-L29</f>
        <v>0</v>
      </c>
      <c r="M31" s="12">
        <f t="shared" ref="M31" si="30">M30-M29</f>
        <v>0</v>
      </c>
      <c r="N31" s="12">
        <f>N30-N29</f>
        <v>0</v>
      </c>
      <c r="O31" s="12">
        <f>O30-O29</f>
        <v>0</v>
      </c>
      <c r="P31" s="12">
        <f>P30-P29</f>
        <v>0</v>
      </c>
      <c r="Q31" s="12">
        <f>Q30-Q29</f>
        <v>-1</v>
      </c>
    </row>
  </sheetData>
  <mergeCells count="7">
    <mergeCell ref="B28:B31"/>
    <mergeCell ref="B8:B11"/>
    <mergeCell ref="B2:Q2"/>
    <mergeCell ref="B13:B16"/>
    <mergeCell ref="B18:B21"/>
    <mergeCell ref="B23:B26"/>
    <mergeCell ref="B3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B6B7-C906-4CF9-A395-FCB11AF01CA1}">
  <sheetPr>
    <tabColor rgb="FFFFC000"/>
  </sheetPr>
  <dimension ref="A1:I5"/>
  <sheetViews>
    <sheetView tabSelected="1" zoomScale="107" workbookViewId="0">
      <selection activeCell="E8" sqref="E8"/>
    </sheetView>
  </sheetViews>
  <sheetFormatPr defaultRowHeight="14.4"/>
  <cols>
    <col min="1" max="1" width="14.33203125" customWidth="1"/>
    <col min="9" max="9" width="10.21875" bestFit="1" customWidth="1"/>
  </cols>
  <sheetData>
    <row r="1" spans="1:9">
      <c r="A1" s="21" t="s">
        <v>45</v>
      </c>
      <c r="B1" s="22"/>
      <c r="C1" s="22"/>
      <c r="D1" s="22"/>
      <c r="E1" s="22"/>
      <c r="F1" s="22"/>
      <c r="G1" s="22"/>
      <c r="H1" s="22"/>
      <c r="I1" s="22"/>
    </row>
    <row r="2" spans="1:9" ht="27.6">
      <c r="A2" s="7" t="s">
        <v>16</v>
      </c>
      <c r="B2" s="8" t="s">
        <v>21</v>
      </c>
      <c r="C2" s="9" t="s">
        <v>10</v>
      </c>
      <c r="D2" s="9" t="s">
        <v>5</v>
      </c>
      <c r="E2" s="9" t="s">
        <v>11</v>
      </c>
      <c r="F2" s="9" t="s">
        <v>43</v>
      </c>
      <c r="G2" s="10" t="s">
        <v>12</v>
      </c>
      <c r="H2" s="9" t="s">
        <v>44</v>
      </c>
      <c r="I2" s="10" t="s">
        <v>20</v>
      </c>
    </row>
    <row r="3" spans="1:9">
      <c r="A3" s="7"/>
      <c r="B3" s="8" t="s">
        <v>7</v>
      </c>
      <c r="C3" s="13">
        <v>19</v>
      </c>
      <c r="D3" s="13">
        <v>18</v>
      </c>
      <c r="E3" s="13">
        <v>25</v>
      </c>
      <c r="F3" s="13">
        <v>3</v>
      </c>
      <c r="G3" s="13">
        <v>1</v>
      </c>
      <c r="H3" s="13">
        <v>0</v>
      </c>
      <c r="I3" s="12">
        <f>SUM(C3:H3)</f>
        <v>66</v>
      </c>
    </row>
    <row r="4" spans="1:9">
      <c r="A4" s="7"/>
      <c r="B4" s="8" t="s">
        <v>8</v>
      </c>
      <c r="C4" s="13">
        <v>12</v>
      </c>
      <c r="D4" s="13">
        <v>11</v>
      </c>
      <c r="E4" s="13">
        <v>22</v>
      </c>
      <c r="F4" s="13">
        <v>7</v>
      </c>
      <c r="G4" s="13">
        <v>1</v>
      </c>
      <c r="H4" s="13">
        <v>2</v>
      </c>
      <c r="I4" s="12">
        <f>SUM(C4:H4)</f>
        <v>55</v>
      </c>
    </row>
    <row r="5" spans="1:9">
      <c r="A5" s="7"/>
      <c r="B5" s="8" t="s">
        <v>17</v>
      </c>
      <c r="C5" s="12">
        <f>C3-C4</f>
        <v>7</v>
      </c>
      <c r="D5" s="12">
        <f>D3-D4</f>
        <v>7</v>
      </c>
      <c r="E5" s="12">
        <f>E4-E3</f>
        <v>-3</v>
      </c>
      <c r="F5" s="12">
        <f>F3-F4</f>
        <v>-4</v>
      </c>
      <c r="G5" s="12">
        <v>0</v>
      </c>
      <c r="H5" s="12">
        <f>H4-H3</f>
        <v>2</v>
      </c>
      <c r="I5" s="12">
        <f>I3-I4</f>
        <v>11</v>
      </c>
    </row>
  </sheetData>
  <mergeCells count="2">
    <mergeCell ref="A2:A5"/>
    <mergeCell ref="A1:I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4D3A45833D2845AA94910457766E2A" ma:contentTypeVersion="5" ma:contentTypeDescription="Create a new document." ma:contentTypeScope="" ma:versionID="fbedd4375e3399467dd697c970dd5926">
  <xsd:schema xmlns:xsd="http://www.w3.org/2001/XMLSchema" xmlns:xs="http://www.w3.org/2001/XMLSchema" xmlns:p="http://schemas.microsoft.com/office/2006/metadata/properties" xmlns:ns3="72783b26-239b-4c3f-9427-a5f7a525e06e" targetNamespace="http://schemas.microsoft.com/office/2006/metadata/properties" ma:root="true" ma:fieldsID="8e1c5f706076d0b7a6d99d66a2109758" ns3:_="">
    <xsd:import namespace="72783b26-239b-4c3f-9427-a5f7a525e06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83b26-239b-4c3f-9427-a5f7a525e06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315015-86AA-492A-B80F-C8462308DF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783b26-239b-4c3f-9427-a5f7a525e0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564A7F-6E52-4F85-B1E8-4A25F02EAF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4175AF-99E8-4CB0-8A4D-D6C16427B0D2}">
  <ds:schemaRefs>
    <ds:schemaRef ds:uri="http://schemas.microsoft.com/office/infopath/2007/PartnerControls"/>
    <ds:schemaRef ds:uri="http://purl.org/dc/terms/"/>
    <ds:schemaRef ds:uri="http://purl.org/dc/dcmitype/"/>
    <ds:schemaRef ds:uri="72783b26-239b-4c3f-9427-a5f7a525e06e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Finishing Process</vt:lpstr>
      <vt:lpstr>Fabrication Process</vt:lpstr>
      <vt:lpstr>Preparatory Process</vt:lpstr>
      <vt:lpstr>P&amp;D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Govindan</dc:creator>
  <cp:lastModifiedBy>Bharath Pradeep A</cp:lastModifiedBy>
  <cp:lastPrinted>2026-01-28T09:30:40Z</cp:lastPrinted>
  <dcterms:created xsi:type="dcterms:W3CDTF">2025-12-04T12:34:20Z</dcterms:created>
  <dcterms:modified xsi:type="dcterms:W3CDTF">2026-08-21T11:53:16Z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0x010100724D3A45833D2845AA94910457766E2A</vt:lpwstr>
  </property>
</Properties>
</file>